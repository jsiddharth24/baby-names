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rth\Desktop\Blog\Data\names\"/>
    </mc:Choice>
  </mc:AlternateContent>
  <xr:revisionPtr revIDLastSave="0" documentId="13_ncr:1_{5DC209B4-76FD-427C-B50E-45EA2C9ABF5D}" xr6:coauthVersionLast="46" xr6:coauthVersionMax="46" xr10:uidLastSave="{00000000-0000-0000-0000-000000000000}"/>
  <bookViews>
    <workbookView xWindow="-120" yWindow="-120" windowWidth="29040" windowHeight="15840" activeTab="2" xr2:uid="{E5B2BD92-2011-4D45-9C43-4ABED11BA208}"/>
  </bookViews>
  <sheets>
    <sheet name="Sheet1" sheetId="1" r:id="rId1"/>
    <sheet name="Name Length" sheetId="7" r:id="rId2"/>
    <sheet name="Unisex Names" sheetId="8" r:id="rId3"/>
    <sheet name="First Letter" sheetId="3" r:id="rId4"/>
    <sheet name="Last Letter" sheetId="6" r:id="rId5"/>
    <sheet name="Most Popular Names - Girls" sheetId="5" r:id="rId6"/>
    <sheet name="Most Popular Names - Boys" sheetId="4" r:id="rId7"/>
  </sheets>
  <definedNames>
    <definedName name="_xlnm._FilterDatabase" localSheetId="3" hidden="1">'First Letter'!$H$35:$I$35</definedName>
    <definedName name="_xlnm._FilterDatabase" localSheetId="4" hidden="1">'Last Letter'!$E$35:$F$35</definedName>
    <definedName name="_xlnm._FilterDatabase" localSheetId="2" hidden="1">'Unisex Names'!$D$6:$G$6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8" l="1"/>
  <c r="G8" i="8"/>
  <c r="G12" i="8"/>
  <c r="G7" i="8"/>
  <c r="G10" i="8"/>
  <c r="G14" i="8"/>
  <c r="G11" i="8"/>
  <c r="G13" i="8"/>
  <c r="I69" i="1"/>
  <c r="J69" i="1"/>
  <c r="I70" i="1"/>
  <c r="J70" i="1"/>
  <c r="I71" i="1"/>
  <c r="J71" i="1"/>
  <c r="I72" i="1"/>
  <c r="J72" i="1"/>
  <c r="J68" i="1"/>
  <c r="I68" i="1"/>
  <c r="I67" i="1"/>
  <c r="J67" i="1" s="1"/>
  <c r="J66" i="1"/>
  <c r="I66" i="1"/>
  <c r="I65" i="1"/>
  <c r="J65" i="1" s="1"/>
  <c r="J64" i="1"/>
  <c r="I64" i="1"/>
  <c r="I63" i="1"/>
  <c r="J63" i="1" s="1"/>
  <c r="J62" i="1"/>
  <c r="I62" i="1"/>
  <c r="I61" i="1"/>
  <c r="J61" i="1" s="1"/>
  <c r="J60" i="1"/>
  <c r="I60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" i="1"/>
  <c r="I7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  <c r="I13" i="6"/>
  <c r="H13" i="6"/>
  <c r="J12" i="6"/>
  <c r="I12" i="6"/>
  <c r="H12" i="6"/>
  <c r="J11" i="6"/>
  <c r="I11" i="6"/>
  <c r="H11" i="6"/>
  <c r="J10" i="6"/>
  <c r="I10" i="6"/>
  <c r="H10" i="6"/>
  <c r="J9" i="6"/>
  <c r="I9" i="6"/>
  <c r="H9" i="6"/>
  <c r="J8" i="6"/>
  <c r="I8" i="6"/>
  <c r="H8" i="6"/>
  <c r="J7" i="6"/>
  <c r="H7" i="6"/>
  <c r="J6" i="6"/>
  <c r="I6" i="6"/>
  <c r="H6" i="6"/>
  <c r="J5" i="6"/>
  <c r="I5" i="6"/>
  <c r="H5" i="6"/>
  <c r="J4" i="6"/>
  <c r="K4" i="6" s="1"/>
  <c r="I4" i="6"/>
  <c r="H4" i="6"/>
  <c r="J5" i="3"/>
  <c r="J6" i="3"/>
  <c r="J7" i="3"/>
  <c r="J8" i="3"/>
  <c r="J9" i="3"/>
  <c r="J10" i="3"/>
  <c r="J11" i="3"/>
  <c r="J12" i="3"/>
  <c r="J13" i="3"/>
  <c r="J14" i="3"/>
  <c r="J15" i="3"/>
  <c r="K15" i="3" s="1"/>
  <c r="J16" i="3"/>
  <c r="J17" i="3"/>
  <c r="J18" i="3"/>
  <c r="J19" i="3"/>
  <c r="K19" i="3" s="1"/>
  <c r="J20" i="3"/>
  <c r="J21" i="3"/>
  <c r="J22" i="3"/>
  <c r="J23" i="3"/>
  <c r="K23" i="3" s="1"/>
  <c r="J24" i="3"/>
  <c r="J25" i="3"/>
  <c r="J26" i="3"/>
  <c r="J27" i="3"/>
  <c r="K27" i="3" s="1"/>
  <c r="J28" i="3"/>
  <c r="J29" i="3"/>
  <c r="J4" i="3"/>
  <c r="I5" i="3"/>
  <c r="K5" i="3" s="1"/>
  <c r="I6" i="3"/>
  <c r="I7" i="3"/>
  <c r="I8" i="3"/>
  <c r="I9" i="3"/>
  <c r="K9" i="3" s="1"/>
  <c r="I10" i="3"/>
  <c r="I11" i="3"/>
  <c r="I12" i="3"/>
  <c r="I13" i="3"/>
  <c r="K13" i="3" s="1"/>
  <c r="I14" i="3"/>
  <c r="I15" i="3"/>
  <c r="I16" i="3"/>
  <c r="I17" i="3"/>
  <c r="K17" i="3" s="1"/>
  <c r="I18" i="3"/>
  <c r="I19" i="3"/>
  <c r="I20" i="3"/>
  <c r="I21" i="3"/>
  <c r="K21" i="3" s="1"/>
  <c r="I22" i="3"/>
  <c r="I23" i="3"/>
  <c r="I24" i="3"/>
  <c r="I25" i="3"/>
  <c r="K25" i="3" s="1"/>
  <c r="I26" i="3"/>
  <c r="I27" i="3"/>
  <c r="I28" i="3"/>
  <c r="I29" i="3"/>
  <c r="K29" i="3" s="1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4" i="3"/>
  <c r="H32" i="1"/>
  <c r="H36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" i="1"/>
  <c r="H62" i="1"/>
  <c r="H60" i="1"/>
  <c r="H8" i="1"/>
  <c r="H19" i="1"/>
  <c r="H24" i="1"/>
  <c r="D41" i="1"/>
  <c r="D18" i="1"/>
  <c r="G1" i="1"/>
  <c r="I1" i="1" s="1"/>
  <c r="C1" i="1"/>
  <c r="D49" i="1" s="1"/>
  <c r="D33" i="1" l="1"/>
  <c r="D57" i="1"/>
  <c r="D66" i="1"/>
  <c r="H16" i="1"/>
  <c r="M16" i="1" s="1"/>
  <c r="H70" i="1"/>
  <c r="H52" i="1"/>
  <c r="D10" i="1"/>
  <c r="D26" i="1"/>
  <c r="L26" i="1" s="1"/>
  <c r="H27" i="1"/>
  <c r="H11" i="1"/>
  <c r="H65" i="1"/>
  <c r="H48" i="1"/>
  <c r="M48" i="1" s="1"/>
  <c r="M65" i="1"/>
  <c r="D64" i="1"/>
  <c r="D68" i="1"/>
  <c r="D72" i="1"/>
  <c r="D35" i="1"/>
  <c r="D39" i="1"/>
  <c r="D43" i="1"/>
  <c r="D47" i="1"/>
  <c r="D51" i="1"/>
  <c r="D55" i="1"/>
  <c r="D4" i="1"/>
  <c r="D8" i="1"/>
  <c r="L8" i="1" s="1"/>
  <c r="D12" i="1"/>
  <c r="D16" i="1"/>
  <c r="L16" i="1" s="1"/>
  <c r="D20" i="1"/>
  <c r="D24" i="1"/>
  <c r="L24" i="1" s="1"/>
  <c r="D28" i="1"/>
  <c r="D13" i="1"/>
  <c r="D21" i="1"/>
  <c r="D3" i="1"/>
  <c r="D2" i="4"/>
  <c r="E24" i="4" s="1"/>
  <c r="D61" i="1"/>
  <c r="D65" i="1"/>
  <c r="D69" i="1"/>
  <c r="D60" i="1"/>
  <c r="L60" i="1" s="1"/>
  <c r="D36" i="1"/>
  <c r="L36" i="1" s="1"/>
  <c r="D40" i="1"/>
  <c r="D44" i="1"/>
  <c r="D48" i="1"/>
  <c r="D52" i="1"/>
  <c r="L52" i="1" s="1"/>
  <c r="D56" i="1"/>
  <c r="D5" i="1"/>
  <c r="L5" i="1" s="1"/>
  <c r="D9" i="1"/>
  <c r="D17" i="1"/>
  <c r="D25" i="1"/>
  <c r="D23" i="1"/>
  <c r="L23" i="1" s="1"/>
  <c r="D15" i="1"/>
  <c r="D7" i="1"/>
  <c r="D54" i="1"/>
  <c r="D46" i="1"/>
  <c r="D38" i="1"/>
  <c r="D71" i="1"/>
  <c r="D63" i="1"/>
  <c r="H33" i="1"/>
  <c r="M33" i="1" s="1"/>
  <c r="H37" i="1"/>
  <c r="H41" i="1"/>
  <c r="M41" i="1" s="1"/>
  <c r="H45" i="1"/>
  <c r="M45" i="1" s="1"/>
  <c r="H49" i="1"/>
  <c r="M49" i="1" s="1"/>
  <c r="H53" i="1"/>
  <c r="H57" i="1"/>
  <c r="L57" i="1" s="1"/>
  <c r="H63" i="1"/>
  <c r="M63" i="1" s="1"/>
  <c r="H67" i="1"/>
  <c r="M67" i="1" s="1"/>
  <c r="H71" i="1"/>
  <c r="M71" i="1" s="1"/>
  <c r="H5" i="1"/>
  <c r="H9" i="1"/>
  <c r="H13" i="1"/>
  <c r="H17" i="1"/>
  <c r="M17" i="1" s="1"/>
  <c r="H21" i="1"/>
  <c r="H25" i="1"/>
  <c r="M25" i="1" s="1"/>
  <c r="H3" i="1"/>
  <c r="M3" i="1" s="1"/>
  <c r="H34" i="1"/>
  <c r="H38" i="1"/>
  <c r="H42" i="1"/>
  <c r="H46" i="1"/>
  <c r="M46" i="1" s="1"/>
  <c r="H50" i="1"/>
  <c r="H54" i="1"/>
  <c r="H64" i="1"/>
  <c r="H68" i="1"/>
  <c r="M68" i="1" s="1"/>
  <c r="H72" i="1"/>
  <c r="H6" i="1"/>
  <c r="H10" i="1"/>
  <c r="H14" i="1"/>
  <c r="M14" i="1" s="1"/>
  <c r="H18" i="1"/>
  <c r="M18" i="1" s="1"/>
  <c r="H22" i="1"/>
  <c r="H26" i="1"/>
  <c r="H35" i="1"/>
  <c r="M35" i="1" s="1"/>
  <c r="H39" i="1"/>
  <c r="M39" i="1" s="1"/>
  <c r="H43" i="1"/>
  <c r="H47" i="1"/>
  <c r="H51" i="1"/>
  <c r="M51" i="1" s="1"/>
  <c r="H55" i="1"/>
  <c r="M55" i="1" s="1"/>
  <c r="D22" i="1"/>
  <c r="L22" i="1" s="1"/>
  <c r="D14" i="1"/>
  <c r="D6" i="1"/>
  <c r="L6" i="1" s="1"/>
  <c r="D53" i="1"/>
  <c r="L53" i="1" s="1"/>
  <c r="D45" i="1"/>
  <c r="D37" i="1"/>
  <c r="D70" i="1"/>
  <c r="L70" i="1" s="1"/>
  <c r="D62" i="1"/>
  <c r="L62" i="1" s="1"/>
  <c r="H23" i="1"/>
  <c r="H15" i="1"/>
  <c r="H7" i="1"/>
  <c r="H69" i="1"/>
  <c r="H61" i="1"/>
  <c r="H44" i="1"/>
  <c r="D27" i="1"/>
  <c r="L27" i="1" s="1"/>
  <c r="D19" i="1"/>
  <c r="L19" i="1" s="1"/>
  <c r="D11" i="1"/>
  <c r="L11" i="1" s="1"/>
  <c r="D32" i="1"/>
  <c r="L32" i="1" s="1"/>
  <c r="D50" i="1"/>
  <c r="D42" i="1"/>
  <c r="D34" i="1"/>
  <c r="D67" i="1"/>
  <c r="H28" i="1"/>
  <c r="M28" i="1" s="1"/>
  <c r="H20" i="1"/>
  <c r="H12" i="1"/>
  <c r="H4" i="1"/>
  <c r="M4" i="1" s="1"/>
  <c r="H66" i="1"/>
  <c r="M66" i="1" s="1"/>
  <c r="H56" i="1"/>
  <c r="H40" i="1"/>
  <c r="D2" i="5"/>
  <c r="E34" i="5" s="1"/>
  <c r="K4" i="3"/>
  <c r="K26" i="3"/>
  <c r="K22" i="3"/>
  <c r="K18" i="3"/>
  <c r="K14" i="3"/>
  <c r="K10" i="3"/>
  <c r="K6" i="3"/>
  <c r="K28" i="3"/>
  <c r="K24" i="3"/>
  <c r="K20" i="3"/>
  <c r="K16" i="3"/>
  <c r="K12" i="3"/>
  <c r="K8" i="3"/>
  <c r="K11" i="3"/>
  <c r="K7" i="3"/>
  <c r="K29" i="6"/>
  <c r="K8" i="6"/>
  <c r="K12" i="6"/>
  <c r="K16" i="6"/>
  <c r="K20" i="6"/>
  <c r="K24" i="6"/>
  <c r="K28" i="6"/>
  <c r="K27" i="6"/>
  <c r="K26" i="6"/>
  <c r="K7" i="6"/>
  <c r="K11" i="6"/>
  <c r="K15" i="6"/>
  <c r="K19" i="6"/>
  <c r="K23" i="6"/>
  <c r="K6" i="6"/>
  <c r="K10" i="6"/>
  <c r="K14" i="6"/>
  <c r="K18" i="6"/>
  <c r="K22" i="6"/>
  <c r="K5" i="6"/>
  <c r="K9" i="6"/>
  <c r="K13" i="6"/>
  <c r="K17" i="6"/>
  <c r="K21" i="6"/>
  <c r="K25" i="6"/>
  <c r="E10" i="5"/>
  <c r="E6" i="5"/>
  <c r="E46" i="5"/>
  <c r="E15" i="5"/>
  <c r="E47" i="5"/>
  <c r="E12" i="5"/>
  <c r="E32" i="5"/>
  <c r="E44" i="5"/>
  <c r="E27" i="5"/>
  <c r="E5" i="5"/>
  <c r="E25" i="5"/>
  <c r="E37" i="5"/>
  <c r="E32" i="4"/>
  <c r="E28" i="4"/>
  <c r="E16" i="4"/>
  <c r="E12" i="4"/>
  <c r="E49" i="4"/>
  <c r="E45" i="4"/>
  <c r="E31" i="4"/>
  <c r="E27" i="4"/>
  <c r="E15" i="4"/>
  <c r="E11" i="4"/>
  <c r="E48" i="4"/>
  <c r="E44" i="4"/>
  <c r="M57" i="1"/>
  <c r="M13" i="1" l="1"/>
  <c r="M15" i="1"/>
  <c r="L37" i="1"/>
  <c r="M26" i="1"/>
  <c r="M10" i="1"/>
  <c r="M64" i="1"/>
  <c r="M42" i="1"/>
  <c r="M9" i="1"/>
  <c r="L44" i="1"/>
  <c r="L69" i="1"/>
  <c r="L47" i="1"/>
  <c r="L72" i="1"/>
  <c r="M11" i="1"/>
  <c r="M60" i="1"/>
  <c r="L71" i="1"/>
  <c r="L18" i="1"/>
  <c r="L50" i="1"/>
  <c r="M7" i="1"/>
  <c r="L48" i="1"/>
  <c r="E36" i="4"/>
  <c r="E52" i="4"/>
  <c r="E19" i="4"/>
  <c r="E37" i="4"/>
  <c r="E53" i="4"/>
  <c r="E20" i="4"/>
  <c r="E35" i="4"/>
  <c r="E21" i="5"/>
  <c r="E19" i="5"/>
  <c r="E28" i="5"/>
  <c r="E43" i="5"/>
  <c r="E42" i="5"/>
  <c r="E40" i="4"/>
  <c r="E7" i="4"/>
  <c r="E23" i="4"/>
  <c r="E41" i="4"/>
  <c r="E8" i="4"/>
  <c r="E41" i="5"/>
  <c r="E9" i="5"/>
  <c r="E48" i="5"/>
  <c r="E16" i="5"/>
  <c r="E23" i="5"/>
  <c r="E22" i="5"/>
  <c r="M12" i="1"/>
  <c r="L34" i="1"/>
  <c r="M61" i="1"/>
  <c r="M38" i="1"/>
  <c r="L54" i="1"/>
  <c r="L56" i="1"/>
  <c r="L40" i="1"/>
  <c r="L65" i="1"/>
  <c r="L21" i="1"/>
  <c r="L20" i="1"/>
  <c r="L43" i="1"/>
  <c r="M19" i="1"/>
  <c r="M40" i="1"/>
  <c r="M23" i="1"/>
  <c r="L45" i="1"/>
  <c r="M43" i="1"/>
  <c r="M22" i="1"/>
  <c r="M6" i="1"/>
  <c r="M54" i="1"/>
  <c r="M21" i="1"/>
  <c r="M5" i="1"/>
  <c r="L7" i="1"/>
  <c r="L17" i="1"/>
  <c r="L61" i="1"/>
  <c r="L13" i="1"/>
  <c r="L55" i="1"/>
  <c r="L39" i="1"/>
  <c r="L64" i="1"/>
  <c r="M27" i="1"/>
  <c r="M24" i="1"/>
  <c r="L66" i="1"/>
  <c r="L33" i="1"/>
  <c r="M70" i="1"/>
  <c r="L46" i="1"/>
  <c r="L3" i="1"/>
  <c r="E30" i="5"/>
  <c r="E18" i="5"/>
  <c r="E53" i="5"/>
  <c r="L67" i="1"/>
  <c r="M44" i="1"/>
  <c r="L14" i="1"/>
  <c r="M47" i="1"/>
  <c r="M32" i="1"/>
  <c r="L63" i="1"/>
  <c r="L25" i="1"/>
  <c r="L4" i="1"/>
  <c r="L68" i="1"/>
  <c r="M8" i="1"/>
  <c r="E49" i="5"/>
  <c r="E33" i="5"/>
  <c r="E17" i="5"/>
  <c r="E51" i="5"/>
  <c r="E11" i="5"/>
  <c r="E40" i="5"/>
  <c r="E24" i="5"/>
  <c r="E8" i="5"/>
  <c r="E35" i="5"/>
  <c r="E7" i="5"/>
  <c r="E38" i="5"/>
  <c r="E45" i="5"/>
  <c r="E29" i="5"/>
  <c r="E13" i="5"/>
  <c r="E39" i="5"/>
  <c r="E52" i="5"/>
  <c r="E36" i="5"/>
  <c r="E20" i="5"/>
  <c r="E4" i="5"/>
  <c r="E31" i="5"/>
  <c r="E50" i="5"/>
  <c r="E14" i="5"/>
  <c r="E26" i="5"/>
  <c r="M56" i="1"/>
  <c r="M20" i="1"/>
  <c r="L42" i="1"/>
  <c r="M69" i="1"/>
  <c r="M72" i="1"/>
  <c r="M50" i="1"/>
  <c r="M34" i="1"/>
  <c r="M53" i="1"/>
  <c r="M37" i="1"/>
  <c r="M62" i="1"/>
  <c r="L38" i="1"/>
  <c r="L15" i="1"/>
  <c r="L9" i="1"/>
  <c r="E34" i="4"/>
  <c r="E39" i="4"/>
  <c r="E47" i="4"/>
  <c r="E6" i="4"/>
  <c r="E14" i="4"/>
  <c r="E22" i="4"/>
  <c r="E30" i="4"/>
  <c r="E42" i="4"/>
  <c r="E50" i="4"/>
  <c r="E9" i="4"/>
  <c r="E17" i="4"/>
  <c r="E25" i="4"/>
  <c r="E33" i="4"/>
  <c r="E43" i="4"/>
  <c r="E51" i="4"/>
  <c r="E10" i="4"/>
  <c r="E18" i="4"/>
  <c r="E26" i="4"/>
  <c r="E4" i="4"/>
  <c r="E38" i="4"/>
  <c r="E21" i="4"/>
  <c r="E46" i="4"/>
  <c r="E29" i="4"/>
  <c r="E5" i="4"/>
  <c r="E13" i="4"/>
  <c r="L28" i="1"/>
  <c r="L12" i="1"/>
  <c r="L51" i="1"/>
  <c r="L35" i="1"/>
  <c r="M52" i="1"/>
  <c r="L49" i="1"/>
  <c r="L41" i="1"/>
  <c r="M36" i="1"/>
  <c r="L10" i="1"/>
</calcChain>
</file>

<file path=xl/sharedStrings.xml><?xml version="1.0" encoding="utf-8"?>
<sst xmlns="http://schemas.openxmlformats.org/spreadsheetml/2006/main" count="849" uniqueCount="186">
  <si>
    <t>Sex</t>
  </si>
  <si>
    <t>First_Letter</t>
  </si>
  <si>
    <t>Name_Count</t>
  </si>
  <si>
    <t>Name_Length</t>
  </si>
  <si>
    <t>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</si>
  <si>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</si>
  <si>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</si>
  <si>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</si>
  <si>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</si>
  <si>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</si>
  <si>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</si>
  <si>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</si>
  <si>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</si>
  <si>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</si>
  <si>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</si>
  <si>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</si>
  <si>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</si>
  <si>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</si>
  <si>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</si>
  <si>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</si>
  <si>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</si>
  <si>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</si>
  <si>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</si>
  <si>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</si>
  <si>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</si>
  <si>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</si>
  <si>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</si>
  <si>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</si>
  <si>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</si>
  <si>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</si>
  <si>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Last_Letter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</si>
  <si>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</si>
  <si>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</si>
  <si>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</si>
  <si>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</si>
  <si>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</si>
  <si>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</si>
  <si>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</si>
  <si>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</si>
  <si>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</si>
  <si>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</si>
  <si>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</si>
  <si>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</si>
  <si>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</si>
  <si>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</si>
  <si>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</si>
  <si>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</si>
  <si>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</si>
  <si>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</si>
  <si>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</si>
  <si>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</si>
  <si>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</si>
  <si>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</si>
  <si>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</si>
  <si>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</si>
  <si>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</si>
  <si>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</si>
  <si>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%</t>
  </si>
  <si>
    <t>Name</t>
  </si>
  <si>
    <t>Liam</t>
  </si>
  <si>
    <t>Noah</t>
  </si>
  <si>
    <t>Oliver</t>
  </si>
  <si>
    <t>Elijah</t>
  </si>
  <si>
    <t>William</t>
  </si>
  <si>
    <t>James</t>
  </si>
  <si>
    <t>Benjamin</t>
  </si>
  <si>
    <t>Lucas</t>
  </si>
  <si>
    <t>Henry</t>
  </si>
  <si>
    <t>Alexander</t>
  </si>
  <si>
    <t>Mason</t>
  </si>
  <si>
    <t>Michael</t>
  </si>
  <si>
    <t>Ethan</t>
  </si>
  <si>
    <t>Daniel</t>
  </si>
  <si>
    <t>Jacob</t>
  </si>
  <si>
    <t>Logan</t>
  </si>
  <si>
    <t>Jackson</t>
  </si>
  <si>
    <t>Levi</t>
  </si>
  <si>
    <t>Sebastian</t>
  </si>
  <si>
    <t>Mateo</t>
  </si>
  <si>
    <t>Jack</t>
  </si>
  <si>
    <t>Owen</t>
  </si>
  <si>
    <t>Theodore</t>
  </si>
  <si>
    <t>Aiden</t>
  </si>
  <si>
    <t>Samuel</t>
  </si>
  <si>
    <t>Joseph</t>
  </si>
  <si>
    <t>John</t>
  </si>
  <si>
    <t>David</t>
  </si>
  <si>
    <t>Wyatt</t>
  </si>
  <si>
    <t>Matthew</t>
  </si>
  <si>
    <t>Luke</t>
  </si>
  <si>
    <t>Asher</t>
  </si>
  <si>
    <t>Carter</t>
  </si>
  <si>
    <t>Julian</t>
  </si>
  <si>
    <t>Grayson</t>
  </si>
  <si>
    <t>Leo</t>
  </si>
  <si>
    <t>Jayden</t>
  </si>
  <si>
    <t>Gabriel</t>
  </si>
  <si>
    <t>Isaac</t>
  </si>
  <si>
    <t>Lincoln</t>
  </si>
  <si>
    <t>Anthony</t>
  </si>
  <si>
    <t>Hudson</t>
  </si>
  <si>
    <t>Dylan</t>
  </si>
  <si>
    <t>Ezra</t>
  </si>
  <si>
    <t>Thomas</t>
  </si>
  <si>
    <t>Charles</t>
  </si>
  <si>
    <t>Christopher</t>
  </si>
  <si>
    <t>Jaxon</t>
  </si>
  <si>
    <t>Maverick</t>
  </si>
  <si>
    <t>Josiah</t>
  </si>
  <si>
    <t>Count</t>
  </si>
  <si>
    <t>Total</t>
  </si>
  <si>
    <t>% of all boy names</t>
  </si>
  <si>
    <t>Olivia</t>
  </si>
  <si>
    <t>Emma</t>
  </si>
  <si>
    <t>Ava</t>
  </si>
  <si>
    <t>Charlotte</t>
  </si>
  <si>
    <t>Sophia</t>
  </si>
  <si>
    <t>Amelia</t>
  </si>
  <si>
    <t>Isabella</t>
  </si>
  <si>
    <t>Mia</t>
  </si>
  <si>
    <t>Evelyn</t>
  </si>
  <si>
    <t>Harper</t>
  </si>
  <si>
    <t>Camila</t>
  </si>
  <si>
    <t>Gianna</t>
  </si>
  <si>
    <t>Abigail</t>
  </si>
  <si>
    <t>Luna</t>
  </si>
  <si>
    <t>Ella</t>
  </si>
  <si>
    <t>Elizabeth</t>
  </si>
  <si>
    <t>Sofia</t>
  </si>
  <si>
    <t>Emily</t>
  </si>
  <si>
    <t>Avery</t>
  </si>
  <si>
    <t>Mila</t>
  </si>
  <si>
    <t>Scarlett</t>
  </si>
  <si>
    <t>Eleanor</t>
  </si>
  <si>
    <t>Madison</t>
  </si>
  <si>
    <t>Layla</t>
  </si>
  <si>
    <t>Penelope</t>
  </si>
  <si>
    <t>Aria</t>
  </si>
  <si>
    <t>Chloe</t>
  </si>
  <si>
    <t>Grace</t>
  </si>
  <si>
    <t>Ellie</t>
  </si>
  <si>
    <t>Nora</t>
  </si>
  <si>
    <t>Hazel</t>
  </si>
  <si>
    <t>Zoey</t>
  </si>
  <si>
    <t>Riley</t>
  </si>
  <si>
    <t>Victoria</t>
  </si>
  <si>
    <t>Lily</t>
  </si>
  <si>
    <t>Aurora</t>
  </si>
  <si>
    <t>Violet</t>
  </si>
  <si>
    <t>Nova</t>
  </si>
  <si>
    <t>Hannah</t>
  </si>
  <si>
    <t>Emilia</t>
  </si>
  <si>
    <t>Zoe</t>
  </si>
  <si>
    <t>Stella</t>
  </si>
  <si>
    <t>Everly</t>
  </si>
  <si>
    <t>Isla</t>
  </si>
  <si>
    <t>Leah</t>
  </si>
  <si>
    <t>Lillian</t>
  </si>
  <si>
    <t>Addison</t>
  </si>
  <si>
    <t>Willow</t>
  </si>
  <si>
    <t>Lucy</t>
  </si>
  <si>
    <t>Paisley</t>
  </si>
  <si>
    <t>% of all girl names</t>
  </si>
  <si>
    <t>Boys</t>
  </si>
  <si>
    <t>Girls</t>
  </si>
  <si>
    <t>First Letter</t>
  </si>
  <si>
    <t>% boys</t>
  </si>
  <si>
    <t>% girls</t>
  </si>
  <si>
    <t>diff</t>
  </si>
  <si>
    <t>Last Letter</t>
  </si>
  <si>
    <t>% of names</t>
  </si>
  <si>
    <t>Girl</t>
  </si>
  <si>
    <t>Boy</t>
  </si>
  <si>
    <t>Length</t>
  </si>
  <si>
    <t>Naomi</t>
  </si>
  <si>
    <t>Leilani</t>
  </si>
  <si>
    <t>Name_Count_M</t>
  </si>
  <si>
    <t>Name_Count_F</t>
  </si>
  <si>
    <t>Parker</t>
  </si>
  <si>
    <t>River</t>
  </si>
  <si>
    <t>Hayden</t>
  </si>
  <si>
    <t>Charlie</t>
  </si>
  <si>
    <t>Blake</t>
  </si>
  <si>
    <t>Phoenix</t>
  </si>
  <si>
    <t>Emerson</t>
  </si>
  <si>
    <t>Finley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</si>
</sst>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9" fontId="0" fillId="0" borderId="0" xfId="1" applyFont="1"/>
    <xf numFmtId="164" fontId="0" fillId="0" borderId="0" xfId="1" applyNumberFormat="1" applyFont="1"/>
    <xf numFmtId="0" fontId="2" fillId="0" borderId="2" xfId="0" applyFont="1" applyFill="1" applyBorder="1" applyAlignment="1">
      <alignment horizontal="center" vertical="top"/>
    </xf>
    <xf numFmtId="0" fontId="0" fillId="0" borderId="0" xfId="0" applyAlignment="1">
      <alignment horizontal="right"/>
    </xf>
    <xf numFmtId="0" fontId="2" fillId="0" borderId="0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2" borderId="0" xfId="0" applyFont="1" applyFill="1"/>
    <xf numFmtId="10" fontId="0" fillId="0" borderId="0" xfId="1" applyNumberFormat="1" applyFont="1"/>
    <xf numFmtId="165" fontId="2" fillId="0" borderId="0" xfId="0" applyNumberFormat="1" applyFont="1"/>
    <xf numFmtId="9" fontId="0" fillId="0" borderId="0" xfId="0" applyNumberFormat="1"/>
    <xf numFmtId="0" fontId="2" fillId="0" borderId="0" xfId="0" applyFont="1" applyBorder="1" applyAlignment="1">
      <alignment horizontal="center" vertical="top"/>
    </xf>
    <xf numFmtId="0" fontId="0" fillId="0" borderId="0" xfId="1" applyNumberFormat="1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Sheet1!$K$3:$K$28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Sheet1!$L$3:$L$28</c:f>
              <c:numCache>
                <c:formatCode>0.0%</c:formatCode>
                <c:ptCount val="26"/>
                <c:pt idx="0">
                  <c:v>0.3772503309148344</c:v>
                </c:pt>
                <c:pt idx="1">
                  <c:v>0.61611217227096549</c:v>
                </c:pt>
                <c:pt idx="2">
                  <c:v>0.55437818488922852</c:v>
                </c:pt>
                <c:pt idx="3">
                  <c:v>0.67577596202728007</c:v>
                </c:pt>
                <c:pt idx="4">
                  <c:v>0.39802623186261726</c:v>
                </c:pt>
                <c:pt idx="5">
                  <c:v>0.53141226714309042</c:v>
                </c:pt>
                <c:pt idx="6">
                  <c:v>0.53367778303977309</c:v>
                </c:pt>
                <c:pt idx="7">
                  <c:v>0.45281151404387915</c:v>
                </c:pt>
                <c:pt idx="8">
                  <c:v>0.41562551252982838</c:v>
                </c:pt>
                <c:pt idx="9">
                  <c:v>0.72610808506960578</c:v>
                </c:pt>
                <c:pt idx="10">
                  <c:v>0.49081632016599985</c:v>
                </c:pt>
                <c:pt idx="11">
                  <c:v>0.5146979274644341</c:v>
                </c:pt>
                <c:pt idx="12">
                  <c:v>0.45567804841332049</c:v>
                </c:pt>
                <c:pt idx="13">
                  <c:v>0.48289865215636435</c:v>
                </c:pt>
                <c:pt idx="14">
                  <c:v>0.55866139129008274</c:v>
                </c:pt>
                <c:pt idx="15">
                  <c:v>0.37822758089283831</c:v>
                </c:pt>
                <c:pt idx="16">
                  <c:v>0.41674811436260284</c:v>
                </c:pt>
                <c:pt idx="17">
                  <c:v>0.50594724977247241</c:v>
                </c:pt>
                <c:pt idx="18">
                  <c:v>0.36043805313505806</c:v>
                </c:pt>
                <c:pt idx="19">
                  <c:v>0.68707383792307564</c:v>
                </c:pt>
                <c:pt idx="20">
                  <c:v>0.78448473471161362</c:v>
                </c:pt>
                <c:pt idx="21">
                  <c:v>0.23630084429659051</c:v>
                </c:pt>
                <c:pt idx="22">
                  <c:v>0.77579836365808852</c:v>
                </c:pt>
                <c:pt idx="23">
                  <c:v>0.62709342353552144</c:v>
                </c:pt>
                <c:pt idx="24">
                  <c:v>0.4938737634591478</c:v>
                </c:pt>
                <c:pt idx="25">
                  <c:v>0.45377509784715647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8-4EFA-BF26-5CDE9FEA17BC}"/>
            </c:ext>
          </c:extLst>
        </c:ser>
        <c:ser>
          <c:idx val="1"/>
          <c:order val="1"/>
          <c:tx>
            <c:strRef>
              <c:f>Sheet1!$M$2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Sheet1!$K$3:$K$28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Sheet1!$M$3:$M$28</c:f>
              <c:numCache>
                <c:formatCode>0.0%</c:formatCode>
                <c:ptCount val="26"/>
                <c:pt idx="0">
                  <c:v>0.6227496690851656</c:v>
                </c:pt>
                <c:pt idx="1">
                  <c:v>0.38388782772903451</c:v>
                </c:pt>
                <c:pt idx="2">
                  <c:v>0.44562181511077154</c:v>
                </c:pt>
                <c:pt idx="3">
                  <c:v>0.32422403797271993</c:v>
                </c:pt>
                <c:pt idx="4">
                  <c:v>0.60197376813738268</c:v>
                </c:pt>
                <c:pt idx="5">
                  <c:v>0.46858773285690958</c:v>
                </c:pt>
                <c:pt idx="6">
                  <c:v>0.46632221696022685</c:v>
                </c:pt>
                <c:pt idx="7">
                  <c:v>0.5471884859561208</c:v>
                </c:pt>
                <c:pt idx="8">
                  <c:v>0.58437448747017151</c:v>
                </c:pt>
                <c:pt idx="9">
                  <c:v>0.27389191493039422</c:v>
                </c:pt>
                <c:pt idx="10">
                  <c:v>0.50918367983400015</c:v>
                </c:pt>
                <c:pt idx="11">
                  <c:v>0.4853020725355659</c:v>
                </c:pt>
                <c:pt idx="12">
                  <c:v>0.54432195158667962</c:v>
                </c:pt>
                <c:pt idx="13">
                  <c:v>0.51710134784363571</c:v>
                </c:pt>
                <c:pt idx="14">
                  <c:v>0.44133860870991726</c:v>
                </c:pt>
                <c:pt idx="15">
                  <c:v>0.62177241910716163</c:v>
                </c:pt>
                <c:pt idx="16">
                  <c:v>0.58325188563739716</c:v>
                </c:pt>
                <c:pt idx="17">
                  <c:v>0.49405275022752754</c:v>
                </c:pt>
                <c:pt idx="18">
                  <c:v>0.63956194686494194</c:v>
                </c:pt>
                <c:pt idx="19">
                  <c:v>0.31292616207692436</c:v>
                </c:pt>
                <c:pt idx="20">
                  <c:v>0.21551526528838641</c:v>
                </c:pt>
                <c:pt idx="21">
                  <c:v>0.7636991557034094</c:v>
                </c:pt>
                <c:pt idx="22">
                  <c:v>0.22420163634191145</c:v>
                </c:pt>
                <c:pt idx="23">
                  <c:v>0.3729065764644785</c:v>
                </c:pt>
                <c:pt idx="24">
                  <c:v>0.50612623654085209</c:v>
                </c:pt>
                <c:pt idx="25">
                  <c:v>0.54622490215284358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8-4EFA-BF26-5CDE9FEA1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3286944"/>
        <c:axId val="513288256"/>
      </c:barChart>
      <c:catAx>
        <c:axId val="51328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88256"/>
        <c:crosses val="autoZero"/>
        <c:auto val="1"/>
        <c:lblAlgn val="ctr"/>
        <c:lblOffset val="100"/>
        <c:noMultiLvlLbl val="0"/>
      </c:catAx>
      <c:valAx>
        <c:axId val="5132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Sheet1!$L$31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Sheet1!$K$32:$K$57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Sheet1!$L$32:$L$57</c:f>
              <c:numCache>
                <c:formatCode>0.0%</c:formatCode>
                <c:ptCount val="26"/>
                <c:pt idx="0">
                  <c:v>4.8819202973926487E-2</c:v>
                </c:pt>
                <c:pt idx="1">
                  <c:v>0.96944447675647161</c:v>
                </c:pt>
                <c:pt idx="2">
                  <c:v>0.9460387258823002</c:v>
                </c:pt>
                <c:pt idx="3">
                  <c:v>0.90551178251855624</c:v>
                </c:pt>
                <c:pt idx="4">
                  <c:v>0.27646418394604905</c:v>
                </c:pt>
                <c:pt idx="5">
                  <c:v>0.93968274945865971</c:v>
                </c:pt>
                <c:pt idx="6">
                  <c:v>0.85864066120977345</c:v>
                </c:pt>
                <c:pt idx="7">
                  <c:v>0.44062182282348528</c:v>
                </c:pt>
                <c:pt idx="8">
                  <c:v>0.40488592959210074</c:v>
                </c:pt>
                <c:pt idx="9">
                  <c:v>0.90712548463130482</c:v>
                </c:pt>
                <c:pt idx="10">
                  <c:v>0.98259372075996887</c:v>
                </c:pt>
                <c:pt idx="11">
                  <c:v>0.7549906414629397</c:v>
                </c:pt>
                <c:pt idx="12">
                  <c:v>0.88769156199911592</c:v>
                </c:pt>
                <c:pt idx="13">
                  <c:v>0.73427828607448342</c:v>
                </c:pt>
                <c:pt idx="14">
                  <c:v>0.96523480291620256</c:v>
                </c:pt>
                <c:pt idx="15">
                  <c:v>0.94084073467563789</c:v>
                </c:pt>
                <c:pt idx="16">
                  <c:v>0.81882135501635234</c:v>
                </c:pt>
                <c:pt idx="17">
                  <c:v>0.74099003629918014</c:v>
                </c:pt>
                <c:pt idx="18">
                  <c:v>0.86884885697220349</c:v>
                </c:pt>
                <c:pt idx="19">
                  <c:v>0.69012797237952739</c:v>
                </c:pt>
                <c:pt idx="20">
                  <c:v>0.83503316935157901</c:v>
                </c:pt>
                <c:pt idx="21">
                  <c:v>0.8528490919428604</c:v>
                </c:pt>
                <c:pt idx="22">
                  <c:v>0.70572631472628355</c:v>
                </c:pt>
                <c:pt idx="23">
                  <c:v>0.8478884102129991</c:v>
                </c:pt>
                <c:pt idx="24">
                  <c:v>0.302220531738706</c:v>
                </c:pt>
                <c:pt idx="25">
                  <c:v>0.75437632266709309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B-459B-87C9-0E0BF3A0C506}"/>
            </c:ext>
          </c:extLst>
        </c:ser>
        <c:ser>
          <c:idx val="1"/>
          <c:order val="1"/>
          <c:tx>
            <c:strRef>
              <c:f>Sheet1!$M$31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Sheet1!$K$32:$K$57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Sheet1!$M$32:$M$57</c:f>
              <c:numCache>
                <c:formatCode>0.0%</c:formatCode>
                <c:ptCount val="26"/>
                <c:pt idx="0">
                  <c:v>0.9511807970260735</c:v>
                </c:pt>
                <c:pt idx="1">
                  <c:v>3.0555523243528476E-2</c:v>
                </c:pt>
                <c:pt idx="2">
                  <c:v>5.396127411769986E-2</c:v>
                </c:pt>
                <c:pt idx="3">
                  <c:v>9.4488217481443856E-2</c:v>
                </c:pt>
                <c:pt idx="4">
                  <c:v>0.72353581605395101</c:v>
                </c:pt>
                <c:pt idx="5">
                  <c:v>6.0317250541340225E-2</c:v>
                </c:pt>
                <c:pt idx="6">
                  <c:v>0.14135933879022658</c:v>
                </c:pt>
                <c:pt idx="7">
                  <c:v>0.55937817717651472</c:v>
                </c:pt>
                <c:pt idx="8">
                  <c:v>0.59511407040789921</c:v>
                </c:pt>
                <c:pt idx="9">
                  <c:v>9.287451536869526E-2</c:v>
                </c:pt>
                <c:pt idx="10">
                  <c:v>1.7406279240031176E-2</c:v>
                </c:pt>
                <c:pt idx="11">
                  <c:v>0.24500935853706032</c:v>
                </c:pt>
                <c:pt idx="12">
                  <c:v>0.11230843800088411</c:v>
                </c:pt>
                <c:pt idx="13">
                  <c:v>0.26572171392551663</c:v>
                </c:pt>
                <c:pt idx="14">
                  <c:v>3.476519708379746E-2</c:v>
                </c:pt>
                <c:pt idx="15">
                  <c:v>5.9159265324362068E-2</c:v>
                </c:pt>
                <c:pt idx="16">
                  <c:v>0.18117864498364764</c:v>
                </c:pt>
                <c:pt idx="17">
                  <c:v>0.25900996370081986</c:v>
                </c:pt>
                <c:pt idx="18">
                  <c:v>0.13115114302779657</c:v>
                </c:pt>
                <c:pt idx="19">
                  <c:v>0.30987202762047256</c:v>
                </c:pt>
                <c:pt idx="20">
                  <c:v>0.16496683064842091</c:v>
                </c:pt>
                <c:pt idx="21">
                  <c:v>0.14715090805713971</c:v>
                </c:pt>
                <c:pt idx="22">
                  <c:v>0.29427368527371639</c:v>
                </c:pt>
                <c:pt idx="23">
                  <c:v>0.15211158978700082</c:v>
                </c:pt>
                <c:pt idx="24">
                  <c:v>0.697779468261294</c:v>
                </c:pt>
                <c:pt idx="25">
                  <c:v>0.24562367733290696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B-459B-87C9-0E0BF3A0C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7493264"/>
        <c:axId val="477494248"/>
      </c:barChart>
      <c:catAx>
        <c:axId val="47749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94248"/>
        <c:crosses val="autoZero"/>
        <c:auto val="1"/>
        <c:lblAlgn val="ctr"/>
        <c:lblOffset val="100"/>
        <c:noMultiLvlLbl val="0"/>
      </c:catAx>
      <c:valAx>
        <c:axId val="47749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9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Sheet1!$L$59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Sheet1!$K$61:$K$67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Sheet1!$L$61:$L$67</c:f>
              <c:numCache>
                <c:formatCode>0.0%</c:formatCode>
                <c:ptCount val="7"/>
                <c:pt idx="0">
                  <c:v>0.42970192301093918</c:v>
                </c:pt>
                <c:pt idx="1">
                  <c:v>0.54847002140390677</c:v>
                </c:pt>
                <c:pt idx="2">
                  <c:v>0.55198242282241894</c:v>
                </c:pt>
                <c:pt idx="3">
                  <c:v>0.50857886886538195</c:v>
                </c:pt>
                <c:pt idx="4">
                  <c:v>0.45181321369870958</c:v>
                </c:pt>
                <c:pt idx="5">
                  <c:v>0.40653192534194504</c:v>
                </c:pt>
                <c:pt idx="6">
                  <c:v>0.36141420780066413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5-44A3-9582-1DDA53A673C9}"/>
            </c:ext>
          </c:extLst>
        </c:ser>
        <c:ser>
          <c:idx val="1"/>
          <c:order val="1"/>
          <c:tx>
            <c:strRef>
              <c:f>Sheet1!$M$59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Sheet1!$K$61:$K$67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cat>
          <c:val>
            <c:numRef>
              <c:f>Sheet1!$M$61:$M$67</c:f>
              <c:numCache>
                <c:formatCode>0.0%</c:formatCode>
                <c:ptCount val="7"/>
                <c:pt idx="0">
                  <c:v>0.57029807698906088</c:v>
                </c:pt>
                <c:pt idx="1">
                  <c:v>0.45152997859609317</c:v>
                </c:pt>
                <c:pt idx="2">
                  <c:v>0.44801757717758106</c:v>
                </c:pt>
                <c:pt idx="3">
                  <c:v>0.49142113113461816</c:v>
                </c:pt>
                <c:pt idx="4">
                  <c:v>0.54818678630129047</c:v>
                </c:pt>
                <c:pt idx="5">
                  <c:v>0.59346807465805507</c:v>
                </c:pt>
                <c:pt idx="6">
                  <c:v>0.63858579219933576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5-44A3-9582-1DDA53A67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7305368"/>
        <c:axId val="487313896"/>
      </c:barChart>
      <c:catAx>
        <c:axId val="48730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13896"/>
        <c:crosses val="autoZero"/>
        <c:auto val="1"/>
        <c:lblAlgn val="ctr"/>
        <c:lblOffset val="100"/>
        <c:noMultiLvlLbl val="0"/>
      </c:catAx>
      <c:valAx>
        <c:axId val="48731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0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397667</xdr:colOff>
      <xdr:row>2</xdr:row>
      <xdr:rowOff>154781</xdr:rowOff>
    </xdr:from>
    <xdr:to>
      <xdr:col>22</xdr:col>
      <xdr:colOff>314325</xdr:colOff>
      <xdr:row>21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7B79F4-0B5E-4CD9-9B52-A47A1072B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602455</xdr:colOff>
      <xdr:row>30</xdr:row>
      <xdr:rowOff>111918</xdr:rowOff>
    </xdr:from>
    <xdr:to>
      <xdr:col>22</xdr:col>
      <xdr:colOff>528637</xdr:colOff>
      <xdr:row>55</xdr:row>
      <xdr:rowOff>80963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122403-D9F3-452E-BF2C-F7BAAD060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102392</xdr:colOff>
      <xdr:row>55</xdr:row>
      <xdr:rowOff>126205</xdr:rowOff>
    </xdr:from>
    <xdr:to>
      <xdr:col>22</xdr:col>
      <xdr:colOff>404811</xdr:colOff>
      <xdr:row>71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1CD027-FB3F-47AE-B9D7-9E8EA71E8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5A5C-556F-4712-BAF5-C7459F476726}">
  <dimension ref="A1:M85"/>
  <sheetViews>
    <sheetView topLeftCell="A51" workbookViewId="0">
      <selection activeCell="A73" sqref="A73"/>
    </sheetView>
  </sheetViews>
  <sheetFormatPr defaultRowHeight="14.25" x14ac:dyDescent="0.45"/>
  <cols>
    <col min="9" max="9" width="11.59765625" bestFit="1" customWidth="1"/>
    <col min="10" max="10" width="11.59765625" customWidth="1"/>
    <col min="12" max="12" width="19.73046875" bestFit="1" customWidth="1"/>
    <col min="13" max="13" width="18.73046875" bestFit="1" customWidth="1"/>
  </cols>
  <sheetData>
    <row r="1" spans="1:13" x14ac:dyDescent="0.45">
      <c r="C1" s="2">
        <f>SUM(C3:C28)</f>
        <v>1706423</v>
      </c>
      <c r="D1" s="2"/>
      <c r="E1" s="2"/>
      <c r="F1" s="2"/>
      <c r="G1" s="2">
        <f>SUM(G3:G28)</f>
        <v>1598836</v>
      </c>
      <c r="I1">
        <f>G1+C1</f>
        <v>3305259</v>
      </c>
    </row>
    <row r="2" spans="1:13" x14ac:dyDescent="0.45">
      <c r="A2" s="1" t="s">
        <v>0</v>
      </c>
      <c r="B2" s="1" t="s">
        <v>1</v>
      </c>
      <c r="C2" s="1" t="s">
        <v>2</v>
      </c>
      <c r="D2" s="1" t="s">
        <v>57</v>
      </c>
      <c r="E2" s="1" t="s">
        <v>0</v>
      </c>
      <c r="F2" s="1" t="s">
        <v>1</v>
      </c>
      <c r="G2" s="1" t="s">
        <v>2</v>
      </c>
      <c r="H2" s="1" t="s">
        <v>57</v>
      </c>
      <c r="I2" s="14"/>
      <c r="J2" s="14"/>
      <c r="L2" s="5" t="s">
        <v>4</v>
      </c>
      <c r="M2" s="5" t="s">
        <v>10</v>
      </c>
    </row>
    <row r="3" spans="1:13" x14ac:dyDescent="0.45">
      <c r="A3" s="16" t="s">
        <v>4</v>
      </c>
      <c r="B3" s="1" t="s">
        <v>5</v>
      </c>
      <c r="C3">
        <v>176384</v>
      </c>
      <c r="D3" s="4">
        <f>C3/$C$1</f>
        <v>0.10336475774177915</v>
      </c>
      <c r="E3" s="16" t="s">
        <v>10</v>
      </c>
      <c r="F3" s="1" t="s">
        <v>5</v>
      </c>
      <c r="G3">
        <v>272810</v>
      </c>
      <c r="H3" s="4">
        <f>G3/$G$1</f>
        <v>0.17063038360407196</v>
      </c>
      <c r="I3" s="15">
        <f>G3+C3</f>
        <v>449194</v>
      </c>
      <c r="J3" s="15">
        <f>I3/$I$1</f>
        <v>0.13590281427264853</v>
      </c>
      <c r="K3" s="6" t="str">
        <f>F3</f>
        <v>A</v>
      </c>
      <c r="L3" s="4">
        <f>D3/(D3+H3)</f>
        <v>0.3772503309148344</v>
      </c>
      <c r="M3" s="4">
        <f>H3/(D3+H3)</f>
        <v>0.6227496690851656</v>
      </c>
    </row>
    <row r="4" spans="1:13" x14ac:dyDescent="0.45">
      <c r="A4" s="16"/>
      <c r="B4" s="1" t="s">
        <v>6</v>
      </c>
      <c r="C4">
        <v>85391</v>
      </c>
      <c r="D4" s="4">
        <f t="shared" ref="D4:D28" si="0">C4/$C$1</f>
        <v>5.0040933578602724E-2</v>
      </c>
      <c r="E4" s="16"/>
      <c r="F4" s="1" t="s">
        <v>6</v>
      </c>
      <c r="G4">
        <v>49851</v>
      </c>
      <c r="H4" s="4">
        <f t="shared" ref="H4:H28" si="1">G4/$G$1</f>
        <v>3.1179558128538513E-2</v>
      </c>
      <c r="I4" s="15">
        <f t="shared" ref="I4:I28" si="2">G4+C4</f>
        <v>135242</v>
      </c>
      <c r="J4" s="15">
        <f t="shared" ref="J4:J28" si="3">I4/$I$1</f>
        <v>4.0917217077390912E-2</v>
      </c>
      <c r="K4" s="6" t="str">
        <f t="shared" ref="K4:K28" si="4">F4</f>
        <v>B</v>
      </c>
      <c r="L4" s="4">
        <f t="shared" ref="L4:L28" si="5">D4/(D4+H4)</f>
        <v>0.61611217227096549</v>
      </c>
      <c r="M4" s="4">
        <f t="shared" ref="M4:M28" si="6">H4/(D4+H4)</f>
        <v>0.38388782772903451</v>
      </c>
    </row>
    <row r="5" spans="1:13" x14ac:dyDescent="0.45">
      <c r="A5" s="16"/>
      <c r="B5" s="1" t="s">
        <v>7</v>
      </c>
      <c r="C5">
        <v>122727</v>
      </c>
      <c r="D5" s="4">
        <f t="shared" si="0"/>
        <v>7.1920619916632622E-2</v>
      </c>
      <c r="E5" s="16"/>
      <c r="F5" s="1" t="s">
        <v>7</v>
      </c>
      <c r="G5">
        <v>92431</v>
      </c>
      <c r="H5" s="4">
        <f t="shared" si="1"/>
        <v>5.7811432817374643E-2</v>
      </c>
      <c r="I5" s="15">
        <f t="shared" si="2"/>
        <v>215158</v>
      </c>
      <c r="J5" s="15">
        <f t="shared" si="3"/>
        <v>6.5095655136254066E-2</v>
      </c>
      <c r="K5" s="6" t="str">
        <f t="shared" si="4"/>
        <v>C</v>
      </c>
      <c r="L5" s="4">
        <f t="shared" si="5"/>
        <v>0.55437818488922852</v>
      </c>
      <c r="M5" s="4">
        <f t="shared" si="6"/>
        <v>0.44562181511077154</v>
      </c>
    </row>
    <row r="6" spans="1:13" x14ac:dyDescent="0.45">
      <c r="A6" s="16"/>
      <c r="B6" s="1" t="s">
        <v>8</v>
      </c>
      <c r="C6">
        <v>86043</v>
      </c>
      <c r="D6" s="4">
        <f t="shared" si="0"/>
        <v>5.0423019380306057E-2</v>
      </c>
      <c r="E6" s="16"/>
      <c r="F6" s="1" t="s">
        <v>8</v>
      </c>
      <c r="G6">
        <v>38679</v>
      </c>
      <c r="H6" s="4">
        <f t="shared" si="1"/>
        <v>2.4191974661566289E-2</v>
      </c>
      <c r="I6" s="15">
        <f t="shared" si="2"/>
        <v>124722</v>
      </c>
      <c r="J6" s="15">
        <f t="shared" si="3"/>
        <v>3.77344105257712E-2</v>
      </c>
      <c r="K6" s="6" t="str">
        <f t="shared" si="4"/>
        <v>D</v>
      </c>
      <c r="L6" s="4">
        <f t="shared" si="5"/>
        <v>0.67577596202728007</v>
      </c>
      <c r="M6" s="4">
        <f t="shared" si="6"/>
        <v>0.32422403797271993</v>
      </c>
    </row>
    <row r="7" spans="1:13" x14ac:dyDescent="0.45">
      <c r="A7" s="16"/>
      <c r="B7" s="1" t="s">
        <v>9</v>
      </c>
      <c r="C7">
        <v>106893</v>
      </c>
      <c r="D7" s="4">
        <f t="shared" si="0"/>
        <v>6.2641560738456989E-2</v>
      </c>
      <c r="E7" s="16"/>
      <c r="F7" s="1" t="s">
        <v>9</v>
      </c>
      <c r="G7">
        <v>151472</v>
      </c>
      <c r="H7" s="4">
        <f t="shared" si="1"/>
        <v>9.473892256616688E-2</v>
      </c>
      <c r="I7" s="15">
        <f t="shared" si="2"/>
        <v>258365</v>
      </c>
      <c r="J7" s="15">
        <f t="shared" si="3"/>
        <v>7.8167853109241972E-2</v>
      </c>
      <c r="K7" s="6" t="str">
        <f t="shared" si="4"/>
        <v>E</v>
      </c>
      <c r="L7" s="4">
        <f t="shared" si="5"/>
        <v>0.39802623186261726</v>
      </c>
      <c r="M7" s="4">
        <f t="shared" si="6"/>
        <v>0.60197376813738268</v>
      </c>
    </row>
    <row r="8" spans="1:13" x14ac:dyDescent="0.45">
      <c r="A8" s="16"/>
      <c r="B8" s="1" t="s">
        <v>10</v>
      </c>
      <c r="C8">
        <v>19348</v>
      </c>
      <c r="D8" s="4">
        <f t="shared" si="0"/>
        <v>1.1338337563429467E-2</v>
      </c>
      <c r="E8" s="16"/>
      <c r="F8" s="1" t="s">
        <v>10</v>
      </c>
      <c r="G8">
        <v>15985</v>
      </c>
      <c r="H8" s="4">
        <f t="shared" si="1"/>
        <v>9.9978984711377519E-3</v>
      </c>
      <c r="I8" s="15">
        <f t="shared" si="2"/>
        <v>35333</v>
      </c>
      <c r="J8" s="15">
        <f t="shared" si="3"/>
        <v>1.068993382969383E-2</v>
      </c>
      <c r="K8" s="6" t="str">
        <f t="shared" si="4"/>
        <v>F</v>
      </c>
      <c r="L8" s="4">
        <f t="shared" si="5"/>
        <v>0.53141226714309042</v>
      </c>
      <c r="M8" s="4">
        <f t="shared" si="6"/>
        <v>0.46858773285690958</v>
      </c>
    </row>
    <row r="9" spans="1:13" x14ac:dyDescent="0.45">
      <c r="A9" s="16"/>
      <c r="B9" s="1" t="s">
        <v>11</v>
      </c>
      <c r="C9">
        <v>53447</v>
      </c>
      <c r="D9" s="4">
        <f t="shared" si="0"/>
        <v>3.1321073379812624E-2</v>
      </c>
      <c r="E9" s="16"/>
      <c r="F9" s="1" t="s">
        <v>11</v>
      </c>
      <c r="G9">
        <v>43757</v>
      </c>
      <c r="H9" s="4">
        <f t="shared" si="1"/>
        <v>2.7368035245641204E-2</v>
      </c>
      <c r="I9" s="15">
        <f t="shared" si="2"/>
        <v>97204</v>
      </c>
      <c r="J9" s="15">
        <f t="shared" si="3"/>
        <v>2.9408890498445053E-2</v>
      </c>
      <c r="K9" s="6" t="str">
        <f t="shared" si="4"/>
        <v>G</v>
      </c>
      <c r="L9" s="4">
        <f t="shared" si="5"/>
        <v>0.53367778303977309</v>
      </c>
      <c r="M9" s="4">
        <f t="shared" si="6"/>
        <v>0.46632221696022685</v>
      </c>
    </row>
    <row r="10" spans="1:13" x14ac:dyDescent="0.45">
      <c r="A10" s="16"/>
      <c r="B10" s="1" t="s">
        <v>12</v>
      </c>
      <c r="C10">
        <v>48149</v>
      </c>
      <c r="D10" s="4">
        <f t="shared" si="0"/>
        <v>2.8216333230388947E-2</v>
      </c>
      <c r="E10" s="16"/>
      <c r="F10" s="1" t="s">
        <v>12</v>
      </c>
      <c r="G10">
        <v>54516</v>
      </c>
      <c r="H10" s="4">
        <f t="shared" si="1"/>
        <v>3.4097305789962194E-2</v>
      </c>
      <c r="I10" s="15">
        <f t="shared" si="2"/>
        <v>102665</v>
      </c>
      <c r="J10" s="15">
        <f t="shared" si="3"/>
        <v>3.1061105952665133E-2</v>
      </c>
      <c r="K10" s="6" t="str">
        <f t="shared" si="4"/>
        <v>H</v>
      </c>
      <c r="L10" s="4">
        <f t="shared" si="5"/>
        <v>0.45281151404387915</v>
      </c>
      <c r="M10" s="4">
        <f t="shared" si="6"/>
        <v>0.5471884859561208</v>
      </c>
    </row>
    <row r="11" spans="1:13" x14ac:dyDescent="0.45">
      <c r="A11" s="16"/>
      <c r="B11" s="1" t="s">
        <v>13</v>
      </c>
      <c r="C11">
        <v>31960</v>
      </c>
      <c r="D11" s="4">
        <f t="shared" si="0"/>
        <v>1.8729236537482208E-2</v>
      </c>
      <c r="E11" s="16"/>
      <c r="F11" s="1" t="s">
        <v>13</v>
      </c>
      <c r="G11">
        <v>42103</v>
      </c>
      <c r="H11" s="4">
        <f t="shared" si="1"/>
        <v>2.6333532644999238E-2</v>
      </c>
      <c r="I11" s="15">
        <f t="shared" si="2"/>
        <v>74063</v>
      </c>
      <c r="J11" s="15">
        <f t="shared" si="3"/>
        <v>2.2407623729335583E-2</v>
      </c>
      <c r="K11" s="6" t="str">
        <f t="shared" si="4"/>
        <v>I</v>
      </c>
      <c r="L11" s="4">
        <f t="shared" si="5"/>
        <v>0.41562551252982838</v>
      </c>
      <c r="M11" s="4">
        <f t="shared" si="6"/>
        <v>0.58437448747017151</v>
      </c>
    </row>
    <row r="12" spans="1:13" x14ac:dyDescent="0.45">
      <c r="A12" s="16"/>
      <c r="B12" s="1" t="s">
        <v>14</v>
      </c>
      <c r="C12">
        <v>205957</v>
      </c>
      <c r="D12" s="4">
        <f t="shared" si="0"/>
        <v>0.12069516175063276</v>
      </c>
      <c r="E12" s="16"/>
      <c r="F12" s="1" t="s">
        <v>14</v>
      </c>
      <c r="G12">
        <v>72790</v>
      </c>
      <c r="H12" s="4">
        <f t="shared" si="1"/>
        <v>4.5526870798505911E-2</v>
      </c>
      <c r="I12" s="15">
        <f t="shared" si="2"/>
        <v>278747</v>
      </c>
      <c r="J12" s="15">
        <f t="shared" si="3"/>
        <v>8.4334389528929507E-2</v>
      </c>
      <c r="K12" s="6" t="str">
        <f t="shared" si="4"/>
        <v>J</v>
      </c>
      <c r="L12" s="4">
        <f t="shared" si="5"/>
        <v>0.72610808506960578</v>
      </c>
      <c r="M12" s="4">
        <f t="shared" si="6"/>
        <v>0.27389191493039422</v>
      </c>
    </row>
    <row r="13" spans="1:13" x14ac:dyDescent="0.45">
      <c r="A13" s="16"/>
      <c r="B13" s="1" t="s">
        <v>15</v>
      </c>
      <c r="C13">
        <v>93834</v>
      </c>
      <c r="D13" s="4">
        <f t="shared" si="0"/>
        <v>5.4988710302193537E-2</v>
      </c>
      <c r="E13" s="16"/>
      <c r="F13" s="1" t="s">
        <v>15</v>
      </c>
      <c r="G13">
        <v>91208</v>
      </c>
      <c r="H13" s="4">
        <f t="shared" si="1"/>
        <v>5.7046501329717371E-2</v>
      </c>
      <c r="I13" s="15">
        <f t="shared" si="2"/>
        <v>185042</v>
      </c>
      <c r="J13" s="15">
        <f t="shared" si="3"/>
        <v>5.5984115011864427E-2</v>
      </c>
      <c r="K13" s="6" t="str">
        <f t="shared" si="4"/>
        <v>K</v>
      </c>
      <c r="L13" s="4">
        <f t="shared" si="5"/>
        <v>0.49081632016599985</v>
      </c>
      <c r="M13" s="4">
        <f t="shared" si="6"/>
        <v>0.50918367983400015</v>
      </c>
    </row>
    <row r="14" spans="1:13" x14ac:dyDescent="0.45">
      <c r="A14" s="16"/>
      <c r="B14" s="1" t="s">
        <v>16</v>
      </c>
      <c r="C14">
        <v>127299</v>
      </c>
      <c r="D14" s="4">
        <f t="shared" si="0"/>
        <v>7.4599908697901979E-2</v>
      </c>
      <c r="E14" s="16"/>
      <c r="F14" s="1" t="s">
        <v>16</v>
      </c>
      <c r="G14">
        <v>112461</v>
      </c>
      <c r="H14" s="4">
        <f t="shared" si="1"/>
        <v>7.0339296838449972E-2</v>
      </c>
      <c r="I14" s="15">
        <f t="shared" si="2"/>
        <v>239760</v>
      </c>
      <c r="J14" s="15">
        <f t="shared" si="3"/>
        <v>7.2538944754405019E-2</v>
      </c>
      <c r="K14" s="6" t="str">
        <f t="shared" si="4"/>
        <v>L</v>
      </c>
      <c r="L14" s="4">
        <f t="shared" si="5"/>
        <v>0.5146979274644341</v>
      </c>
      <c r="M14" s="4">
        <f t="shared" si="6"/>
        <v>0.4853020725355659</v>
      </c>
    </row>
    <row r="15" spans="1:13" x14ac:dyDescent="0.45">
      <c r="A15" s="16"/>
      <c r="B15" s="1" t="s">
        <v>4</v>
      </c>
      <c r="C15">
        <v>126356</v>
      </c>
      <c r="D15" s="4">
        <f t="shared" si="0"/>
        <v>7.4047290736235977E-2</v>
      </c>
      <c r="E15" s="16"/>
      <c r="F15" s="1" t="s">
        <v>4</v>
      </c>
      <c r="G15">
        <v>141420</v>
      </c>
      <c r="H15" s="4">
        <f t="shared" si="1"/>
        <v>8.8451848719943757E-2</v>
      </c>
      <c r="I15" s="15">
        <f t="shared" si="2"/>
        <v>267776</v>
      </c>
      <c r="J15" s="15">
        <f t="shared" si="3"/>
        <v>8.1015133761075914E-2</v>
      </c>
      <c r="K15" s="6" t="str">
        <f t="shared" si="4"/>
        <v>M</v>
      </c>
      <c r="L15" s="4">
        <f t="shared" si="5"/>
        <v>0.45567804841332049</v>
      </c>
      <c r="M15" s="4">
        <f t="shared" si="6"/>
        <v>0.54432195158667962</v>
      </c>
    </row>
    <row r="16" spans="1:13" x14ac:dyDescent="0.45">
      <c r="A16" s="16"/>
      <c r="B16" s="1" t="s">
        <v>17</v>
      </c>
      <c r="C16">
        <v>55521</v>
      </c>
      <c r="D16" s="4">
        <f t="shared" si="0"/>
        <v>3.2536481282776898E-2</v>
      </c>
      <c r="E16" s="16"/>
      <c r="F16" s="1" t="s">
        <v>17</v>
      </c>
      <c r="G16">
        <v>55705</v>
      </c>
      <c r="H16" s="4">
        <f t="shared" si="1"/>
        <v>3.4840971806989585E-2</v>
      </c>
      <c r="I16" s="15">
        <f t="shared" si="2"/>
        <v>111226</v>
      </c>
      <c r="J16" s="15">
        <f t="shared" si="3"/>
        <v>3.3651220675898624E-2</v>
      </c>
      <c r="K16" s="6" t="str">
        <f t="shared" si="4"/>
        <v>N</v>
      </c>
      <c r="L16" s="4">
        <f t="shared" si="5"/>
        <v>0.48289865215636435</v>
      </c>
      <c r="M16" s="4">
        <f t="shared" si="6"/>
        <v>0.51710134784363571</v>
      </c>
    </row>
    <row r="17" spans="1:13" x14ac:dyDescent="0.45">
      <c r="A17" s="16"/>
      <c r="B17" s="1" t="s">
        <v>18</v>
      </c>
      <c r="C17">
        <v>37011</v>
      </c>
      <c r="D17" s="4">
        <f t="shared" si="0"/>
        <v>2.1689229458346494E-2</v>
      </c>
      <c r="E17" s="16"/>
      <c r="F17" s="1" t="s">
        <v>18</v>
      </c>
      <c r="G17">
        <v>27395</v>
      </c>
      <c r="H17" s="4">
        <f t="shared" si="1"/>
        <v>1.7134340232519158E-2</v>
      </c>
      <c r="I17" s="15">
        <f t="shared" si="2"/>
        <v>64406</v>
      </c>
      <c r="J17" s="15">
        <f t="shared" si="3"/>
        <v>1.9485916232283157E-2</v>
      </c>
      <c r="K17" s="6" t="str">
        <f t="shared" si="4"/>
        <v>O</v>
      </c>
      <c r="L17" s="4">
        <f t="shared" si="5"/>
        <v>0.55866139129008274</v>
      </c>
      <c r="M17" s="4">
        <f t="shared" si="6"/>
        <v>0.44133860870991726</v>
      </c>
    </row>
    <row r="18" spans="1:13" x14ac:dyDescent="0.45">
      <c r="A18" s="16"/>
      <c r="B18" s="1" t="s">
        <v>19</v>
      </c>
      <c r="C18">
        <v>24140</v>
      </c>
      <c r="D18" s="4">
        <f t="shared" si="0"/>
        <v>1.4146551001715284E-2</v>
      </c>
      <c r="E18" s="16"/>
      <c r="F18" s="1" t="s">
        <v>19</v>
      </c>
      <c r="G18">
        <v>37182</v>
      </c>
      <c r="H18" s="4">
        <f t="shared" si="1"/>
        <v>2.3255668498832902E-2</v>
      </c>
      <c r="I18" s="15">
        <f t="shared" si="2"/>
        <v>61322</v>
      </c>
      <c r="J18" s="15">
        <f t="shared" si="3"/>
        <v>1.8552857733690462E-2</v>
      </c>
      <c r="K18" s="6" t="str">
        <f t="shared" si="4"/>
        <v>P</v>
      </c>
      <c r="L18" s="4">
        <f t="shared" si="5"/>
        <v>0.37822758089283831</v>
      </c>
      <c r="M18" s="4">
        <f t="shared" si="6"/>
        <v>0.62177241910716163</v>
      </c>
    </row>
    <row r="19" spans="1:13" x14ac:dyDescent="0.45">
      <c r="A19" s="16"/>
      <c r="B19" s="1" t="s">
        <v>20</v>
      </c>
      <c r="C19">
        <v>3055</v>
      </c>
      <c r="D19" s="4">
        <f t="shared" si="0"/>
        <v>1.7902946690240345E-3</v>
      </c>
      <c r="E19" s="16"/>
      <c r="F19" s="1" t="s">
        <v>20</v>
      </c>
      <c r="G19">
        <v>4006</v>
      </c>
      <c r="H19" s="4">
        <f t="shared" si="1"/>
        <v>2.5055728042150663E-3</v>
      </c>
      <c r="I19" s="15">
        <f t="shared" si="2"/>
        <v>7061</v>
      </c>
      <c r="J19" s="15">
        <f t="shared" si="3"/>
        <v>2.1362924962915158E-3</v>
      </c>
      <c r="K19" s="6" t="str">
        <f t="shared" si="4"/>
        <v>Q</v>
      </c>
      <c r="L19" s="4">
        <f t="shared" si="5"/>
        <v>0.41674811436260284</v>
      </c>
      <c r="M19" s="4">
        <f t="shared" si="6"/>
        <v>0.58325188563739716</v>
      </c>
    </row>
    <row r="20" spans="1:13" x14ac:dyDescent="0.45">
      <c r="A20" s="16"/>
      <c r="B20" s="1" t="s">
        <v>21</v>
      </c>
      <c r="C20">
        <v>78977</v>
      </c>
      <c r="D20" s="4">
        <f t="shared" si="0"/>
        <v>4.6282193805404638E-2</v>
      </c>
      <c r="E20" s="16"/>
      <c r="F20" s="1" t="s">
        <v>21</v>
      </c>
      <c r="G20">
        <v>72258</v>
      </c>
      <c r="H20" s="4">
        <f t="shared" si="1"/>
        <v>4.5194128728650092E-2</v>
      </c>
      <c r="I20" s="15">
        <f t="shared" si="2"/>
        <v>151235</v>
      </c>
      <c r="J20" s="15">
        <f t="shared" si="3"/>
        <v>4.5755869661046229E-2</v>
      </c>
      <c r="K20" s="6" t="str">
        <f t="shared" si="4"/>
        <v>R</v>
      </c>
      <c r="L20" s="4">
        <f t="shared" si="5"/>
        <v>0.50594724977247241</v>
      </c>
      <c r="M20" s="4">
        <f t="shared" si="6"/>
        <v>0.49405275022752754</v>
      </c>
    </row>
    <row r="21" spans="1:13" x14ac:dyDescent="0.45">
      <c r="A21" s="16"/>
      <c r="B21" s="1" t="s">
        <v>22</v>
      </c>
      <c r="C21">
        <v>67911</v>
      </c>
      <c r="D21" s="4">
        <f t="shared" si="0"/>
        <v>3.9797283557476665E-2</v>
      </c>
      <c r="E21" s="16"/>
      <c r="F21" s="1" t="s">
        <v>22</v>
      </c>
      <c r="G21">
        <v>112904</v>
      </c>
      <c r="H21" s="4">
        <f t="shared" si="1"/>
        <v>7.0616373411656982E-2</v>
      </c>
      <c r="I21" s="15">
        <f t="shared" si="2"/>
        <v>180815</v>
      </c>
      <c r="J21" s="15">
        <f t="shared" si="3"/>
        <v>5.4705243976341945E-2</v>
      </c>
      <c r="K21" s="6" t="str">
        <f t="shared" si="4"/>
        <v>S</v>
      </c>
      <c r="L21" s="4">
        <f t="shared" si="5"/>
        <v>0.36043805313505806</v>
      </c>
      <c r="M21" s="4">
        <f t="shared" si="6"/>
        <v>0.63956194686494194</v>
      </c>
    </row>
    <row r="22" spans="1:13" x14ac:dyDescent="0.45">
      <c r="A22" s="16"/>
      <c r="B22" s="1" t="s">
        <v>23</v>
      </c>
      <c r="C22">
        <v>56942</v>
      </c>
      <c r="D22" s="4">
        <f t="shared" si="0"/>
        <v>3.3369217362869581E-2</v>
      </c>
      <c r="E22" s="16"/>
      <c r="F22" s="1" t="s">
        <v>23</v>
      </c>
      <c r="G22">
        <v>24299</v>
      </c>
      <c r="H22" s="4">
        <f t="shared" si="1"/>
        <v>1.5197931495162732E-2</v>
      </c>
      <c r="I22" s="15">
        <f t="shared" si="2"/>
        <v>81241</v>
      </c>
      <c r="J22" s="15">
        <f t="shared" si="3"/>
        <v>2.4579314359328572E-2</v>
      </c>
      <c r="K22" s="6" t="str">
        <f t="shared" si="4"/>
        <v>T</v>
      </c>
      <c r="L22" s="4">
        <f t="shared" si="5"/>
        <v>0.68707383792307564</v>
      </c>
      <c r="M22" s="4">
        <f t="shared" si="6"/>
        <v>0.31292616207692436</v>
      </c>
    </row>
    <row r="23" spans="1:13" x14ac:dyDescent="0.45">
      <c r="A23" s="16"/>
      <c r="B23" s="1" t="s">
        <v>24</v>
      </c>
      <c r="C23">
        <v>2432</v>
      </c>
      <c r="D23" s="4">
        <f t="shared" si="0"/>
        <v>1.425203481200148E-3</v>
      </c>
      <c r="E23" s="16"/>
      <c r="F23" s="1" t="s">
        <v>24</v>
      </c>
      <c r="G23">
        <v>626</v>
      </c>
      <c r="H23" s="4">
        <f t="shared" si="1"/>
        <v>3.9153484159726201E-4</v>
      </c>
      <c r="I23" s="15">
        <f t="shared" si="2"/>
        <v>3058</v>
      </c>
      <c r="J23" s="15">
        <f t="shared" si="3"/>
        <v>9.2519224665903643E-4</v>
      </c>
      <c r="K23" s="6" t="str">
        <f t="shared" si="4"/>
        <v>U</v>
      </c>
      <c r="L23" s="4">
        <f t="shared" si="5"/>
        <v>0.78448473471161362</v>
      </c>
      <c r="M23" s="4">
        <f t="shared" si="6"/>
        <v>0.21551526528838641</v>
      </c>
    </row>
    <row r="24" spans="1:13" x14ac:dyDescent="0.45">
      <c r="A24" s="16"/>
      <c r="B24" s="1" t="s">
        <v>25</v>
      </c>
      <c r="C24">
        <v>10701</v>
      </c>
      <c r="D24" s="4">
        <f t="shared" si="0"/>
        <v>6.2710125215143025E-3</v>
      </c>
      <c r="E24" s="16"/>
      <c r="F24" s="1" t="s">
        <v>25</v>
      </c>
      <c r="G24">
        <v>32404</v>
      </c>
      <c r="H24" s="4">
        <f t="shared" si="1"/>
        <v>2.0267244420315779E-2</v>
      </c>
      <c r="I24" s="15">
        <f t="shared" si="2"/>
        <v>43105</v>
      </c>
      <c r="J24" s="15">
        <f t="shared" si="3"/>
        <v>1.3041338061555842E-2</v>
      </c>
      <c r="K24" s="6" t="str">
        <f t="shared" si="4"/>
        <v>V</v>
      </c>
      <c r="L24" s="4">
        <f t="shared" si="5"/>
        <v>0.23630084429659051</v>
      </c>
      <c r="M24" s="4">
        <f t="shared" si="6"/>
        <v>0.7636991557034094</v>
      </c>
    </row>
    <row r="25" spans="1:13" x14ac:dyDescent="0.45">
      <c r="A25" s="16"/>
      <c r="B25" s="1" t="s">
        <v>26</v>
      </c>
      <c r="C25">
        <v>45381</v>
      </c>
      <c r="D25" s="4">
        <f t="shared" si="0"/>
        <v>2.6594226636654568E-2</v>
      </c>
      <c r="E25" s="16"/>
      <c r="F25" s="1" t="s">
        <v>26</v>
      </c>
      <c r="G25">
        <v>12288</v>
      </c>
      <c r="H25" s="4">
        <f t="shared" si="1"/>
        <v>7.6855912676472137E-3</v>
      </c>
      <c r="I25" s="15">
        <f t="shared" si="2"/>
        <v>57669</v>
      </c>
      <c r="J25" s="15">
        <f t="shared" si="3"/>
        <v>1.7447649337011109E-2</v>
      </c>
      <c r="K25" s="6" t="str">
        <f t="shared" si="4"/>
        <v>W</v>
      </c>
      <c r="L25" s="4">
        <f t="shared" si="5"/>
        <v>0.77579836365808852</v>
      </c>
      <c r="M25" s="4">
        <f t="shared" si="6"/>
        <v>0.22420163634191145</v>
      </c>
    </row>
    <row r="26" spans="1:13" x14ac:dyDescent="0.45">
      <c r="A26" s="16"/>
      <c r="B26" s="1" t="s">
        <v>27</v>
      </c>
      <c r="C26">
        <v>7242</v>
      </c>
      <c r="D26" s="4">
        <f t="shared" si="0"/>
        <v>4.2439653005145852E-3</v>
      </c>
      <c r="E26" s="16"/>
      <c r="F26" s="1" t="s">
        <v>27</v>
      </c>
      <c r="G26">
        <v>4035</v>
      </c>
      <c r="H26" s="4">
        <f t="shared" si="1"/>
        <v>2.5237109997523197E-3</v>
      </c>
      <c r="I26" s="15">
        <f t="shared" si="2"/>
        <v>11277</v>
      </c>
      <c r="J26" s="15">
        <f t="shared" si="3"/>
        <v>3.411835502149756E-3</v>
      </c>
      <c r="K26" s="6" t="str">
        <f t="shared" si="4"/>
        <v>X</v>
      </c>
      <c r="L26" s="4">
        <f t="shared" si="5"/>
        <v>0.62709342353552144</v>
      </c>
      <c r="M26" s="4">
        <f t="shared" si="6"/>
        <v>0.3729065764644785</v>
      </c>
    </row>
    <row r="27" spans="1:13" x14ac:dyDescent="0.45">
      <c r="A27" s="16"/>
      <c r="B27" s="1" t="s">
        <v>28</v>
      </c>
      <c r="C27">
        <v>7939</v>
      </c>
      <c r="D27" s="4">
        <f t="shared" si="0"/>
        <v>4.6524220547894627E-3</v>
      </c>
      <c r="E27" s="16"/>
      <c r="F27" s="1" t="s">
        <v>28</v>
      </c>
      <c r="G27">
        <v>7623</v>
      </c>
      <c r="H27" s="4">
        <f t="shared" si="1"/>
        <v>4.7678436062235279E-3</v>
      </c>
      <c r="I27" s="15">
        <f t="shared" si="2"/>
        <v>15562</v>
      </c>
      <c r="J27" s="15">
        <f t="shared" si="3"/>
        <v>4.7082543304473269E-3</v>
      </c>
      <c r="K27" s="6" t="str">
        <f t="shared" si="4"/>
        <v>Y</v>
      </c>
      <c r="L27" s="4">
        <f t="shared" si="5"/>
        <v>0.4938737634591478</v>
      </c>
      <c r="M27" s="4">
        <f t="shared" si="6"/>
        <v>0.50612623654085209</v>
      </c>
    </row>
    <row r="28" spans="1:13" x14ac:dyDescent="0.45">
      <c r="A28" s="16"/>
      <c r="B28" s="1" t="s">
        <v>29</v>
      </c>
      <c r="C28">
        <v>25383</v>
      </c>
      <c r="D28" s="4">
        <f t="shared" si="0"/>
        <v>1.4874975313858287E-2</v>
      </c>
      <c r="E28" s="16"/>
      <c r="F28" s="1" t="s">
        <v>29</v>
      </c>
      <c r="G28">
        <v>28628</v>
      </c>
      <c r="H28" s="4">
        <f t="shared" si="1"/>
        <v>1.7905526270361689E-2</v>
      </c>
      <c r="I28" s="15">
        <f t="shared" si="2"/>
        <v>54011</v>
      </c>
      <c r="J28" s="15">
        <f t="shared" si="3"/>
        <v>1.6340928199575284E-2</v>
      </c>
      <c r="K28" s="6" t="str">
        <f t="shared" si="4"/>
        <v>Z</v>
      </c>
      <c r="L28" s="4">
        <f t="shared" si="5"/>
        <v>0.45377509784715647</v>
      </c>
      <c r="M28" s="4">
        <f t="shared" si="6"/>
        <v>0.54622490215284358</v>
      </c>
    </row>
    <row r="29" spans="1:13" x14ac:dyDescent="0.45">
      <c r="H29" s="4"/>
      <c r="K29" s="6"/>
    </row>
    <row r="30" spans="1:13" x14ac:dyDescent="0.45">
      <c r="K30" s="6"/>
    </row>
    <row r="31" spans="1:13" x14ac:dyDescent="0.45">
      <c r="A31" s="1" t="s">
        <v>0</v>
      </c>
      <c r="B31" s="1" t="s">
        <v>30</v>
      </c>
      <c r="C31" s="1" t="s">
        <v>2</v>
      </c>
      <c r="D31" s="1" t="s">
        <v>3</v>
      </c>
      <c r="E31" s="1" t="s">
        <v>0</v>
      </c>
      <c r="F31" s="1" t="s">
        <v>30</v>
      </c>
      <c r="G31" s="1" t="s">
        <v>2</v>
      </c>
      <c r="H31" s="1" t="s">
        <v>3</v>
      </c>
      <c r="I31" s="14"/>
      <c r="J31" s="14"/>
      <c r="K31" s="6"/>
      <c r="L31" s="5" t="s">
        <v>4</v>
      </c>
      <c r="M31" s="5" t="s">
        <v>10</v>
      </c>
    </row>
    <row r="32" spans="1:13" x14ac:dyDescent="0.45">
      <c r="A32" s="16" t="s">
        <v>4</v>
      </c>
      <c r="B32" s="1" t="s">
        <v>31</v>
      </c>
      <c r="C32">
        <v>33463</v>
      </c>
      <c r="D32" s="4">
        <f>C32/$C$1</f>
        <v>1.9610026353371935E-2</v>
      </c>
      <c r="E32" s="16" t="s">
        <v>10</v>
      </c>
      <c r="F32" s="1" t="s">
        <v>31</v>
      </c>
      <c r="G32">
        <v>610878</v>
      </c>
      <c r="H32" s="4">
        <f t="shared" ref="H32:H57" si="7">G32/$G$1</f>
        <v>0.3820767108071122</v>
      </c>
      <c r="I32" s="4"/>
      <c r="J32" s="4"/>
      <c r="K32" s="6" t="str">
        <f>F32</f>
        <v>a</v>
      </c>
      <c r="L32" s="4">
        <f>D32/(D32+H32)</f>
        <v>4.8819202973926487E-2</v>
      </c>
      <c r="M32" s="4">
        <f>H32/(D32+H32)</f>
        <v>0.9511807970260735</v>
      </c>
    </row>
    <row r="33" spans="1:13" x14ac:dyDescent="0.45">
      <c r="A33" s="16"/>
      <c r="B33" s="1" t="s">
        <v>32</v>
      </c>
      <c r="C33">
        <v>17947</v>
      </c>
      <c r="D33" s="4">
        <f t="shared" ref="D33:D57" si="8">C33/$C$1</f>
        <v>1.0517321906701915E-2</v>
      </c>
      <c r="E33" s="16"/>
      <c r="F33" s="1" t="s">
        <v>32</v>
      </c>
      <c r="G33">
        <v>530</v>
      </c>
      <c r="H33" s="4">
        <f t="shared" si="7"/>
        <v>3.3149115981876814E-4</v>
      </c>
      <c r="I33" s="4"/>
      <c r="J33" s="4"/>
      <c r="K33" s="6" t="str">
        <f t="shared" ref="K33:K57" si="9">F33</f>
        <v>b</v>
      </c>
      <c r="L33" s="4">
        <f t="shared" ref="L33:L57" si="10">D33/(D33+H33)</f>
        <v>0.96944447675647161</v>
      </c>
      <c r="M33" s="4">
        <f t="shared" ref="M33:M57" si="11">H33/(D33+H33)</f>
        <v>3.0555523243528476E-2</v>
      </c>
    </row>
    <row r="34" spans="1:13" x14ac:dyDescent="0.45">
      <c r="A34" s="16"/>
      <c r="B34" s="1" t="s">
        <v>33</v>
      </c>
      <c r="C34">
        <v>16541</v>
      </c>
      <c r="D34" s="4">
        <f t="shared" si="8"/>
        <v>9.6933761441330788E-3</v>
      </c>
      <c r="E34" s="16"/>
      <c r="F34" s="1" t="s">
        <v>33</v>
      </c>
      <c r="G34">
        <v>884</v>
      </c>
      <c r="H34" s="4">
        <f t="shared" si="7"/>
        <v>5.529022363769642E-4</v>
      </c>
      <c r="I34" s="4"/>
      <c r="J34" s="4"/>
      <c r="K34" s="6" t="str">
        <f t="shared" si="9"/>
        <v>c</v>
      </c>
      <c r="L34" s="4">
        <f t="shared" si="10"/>
        <v>0.9460387258823002</v>
      </c>
      <c r="M34" s="4">
        <f t="shared" si="11"/>
        <v>5.396127411769986E-2</v>
      </c>
    </row>
    <row r="35" spans="1:13" x14ac:dyDescent="0.45">
      <c r="A35" s="16"/>
      <c r="B35" s="1" t="s">
        <v>34</v>
      </c>
      <c r="C35">
        <v>38591</v>
      </c>
      <c r="D35" s="4">
        <f t="shared" si="8"/>
        <v>2.2615142904191986E-2</v>
      </c>
      <c r="E35" s="16"/>
      <c r="F35" s="1" t="s">
        <v>34</v>
      </c>
      <c r="G35">
        <v>3773</v>
      </c>
      <c r="H35" s="4">
        <f t="shared" si="7"/>
        <v>2.3598417848985135E-3</v>
      </c>
      <c r="I35" s="4"/>
      <c r="J35" s="4"/>
      <c r="K35" s="6" t="str">
        <f t="shared" si="9"/>
        <v>d</v>
      </c>
      <c r="L35" s="4">
        <f t="shared" si="10"/>
        <v>0.90551178251855624</v>
      </c>
      <c r="M35" s="4">
        <f t="shared" si="11"/>
        <v>9.4488217481443856E-2</v>
      </c>
    </row>
    <row r="36" spans="1:13" x14ac:dyDescent="0.45">
      <c r="A36" s="16"/>
      <c r="B36" s="1" t="s">
        <v>35</v>
      </c>
      <c r="C36">
        <v>115556</v>
      </c>
      <c r="D36" s="4">
        <f t="shared" si="8"/>
        <v>6.771826211906426E-2</v>
      </c>
      <c r="E36" s="16"/>
      <c r="F36" s="1" t="s">
        <v>35</v>
      </c>
      <c r="G36">
        <v>283355</v>
      </c>
      <c r="H36" s="4">
        <f t="shared" si="7"/>
        <v>0.1772258067744284</v>
      </c>
      <c r="I36" s="4"/>
      <c r="J36" s="4"/>
      <c r="K36" s="6" t="str">
        <f t="shared" si="9"/>
        <v>e</v>
      </c>
      <c r="L36" s="4">
        <f t="shared" si="10"/>
        <v>0.27646418394604905</v>
      </c>
      <c r="M36" s="4">
        <f t="shared" si="11"/>
        <v>0.72353581605395101</v>
      </c>
    </row>
    <row r="37" spans="1:13" x14ac:dyDescent="0.45">
      <c r="A37" s="16"/>
      <c r="B37" s="1" t="s">
        <v>36</v>
      </c>
      <c r="C37">
        <v>2677</v>
      </c>
      <c r="D37" s="4">
        <f t="shared" si="8"/>
        <v>1.5687786674230247E-3</v>
      </c>
      <c r="E37" s="16"/>
      <c r="F37" s="1" t="s">
        <v>36</v>
      </c>
      <c r="G37">
        <v>161</v>
      </c>
      <c r="H37" s="4">
        <f t="shared" si="7"/>
        <v>1.0069825798268241E-4</v>
      </c>
      <c r="I37" s="4"/>
      <c r="J37" s="4"/>
      <c r="K37" s="6" t="str">
        <f t="shared" si="9"/>
        <v>f</v>
      </c>
      <c r="L37" s="4">
        <f t="shared" si="10"/>
        <v>0.93968274945865971</v>
      </c>
      <c r="M37" s="4">
        <f t="shared" si="11"/>
        <v>6.0317250541340225E-2</v>
      </c>
    </row>
    <row r="38" spans="1:13" x14ac:dyDescent="0.45">
      <c r="A38" s="16"/>
      <c r="B38" s="1" t="s">
        <v>37</v>
      </c>
      <c r="C38">
        <v>4551</v>
      </c>
      <c r="D38" s="4">
        <f t="shared" si="8"/>
        <v>2.6669823367359677E-3</v>
      </c>
      <c r="E38" s="16"/>
      <c r="F38" s="1" t="s">
        <v>37</v>
      </c>
      <c r="G38">
        <v>702</v>
      </c>
      <c r="H38" s="4">
        <f t="shared" si="7"/>
        <v>4.390694230052363E-4</v>
      </c>
      <c r="I38" s="4"/>
      <c r="J38" s="4"/>
      <c r="K38" s="6" t="str">
        <f t="shared" si="9"/>
        <v>g</v>
      </c>
      <c r="L38" s="4">
        <f t="shared" si="10"/>
        <v>0.85864066120977345</v>
      </c>
      <c r="M38" s="4">
        <f t="shared" si="11"/>
        <v>0.14135933879022658</v>
      </c>
    </row>
    <row r="39" spans="1:13" x14ac:dyDescent="0.45">
      <c r="A39" s="16"/>
      <c r="B39" s="1" t="s">
        <v>38</v>
      </c>
      <c r="C39">
        <v>93013</v>
      </c>
      <c r="D39" s="4">
        <f t="shared" si="8"/>
        <v>5.4507586923054838E-2</v>
      </c>
      <c r="E39" s="16"/>
      <c r="F39" s="1" t="s">
        <v>38</v>
      </c>
      <c r="G39">
        <v>110637</v>
      </c>
      <c r="H39" s="4">
        <f t="shared" si="7"/>
        <v>6.9198466884658583E-2</v>
      </c>
      <c r="I39" s="4"/>
      <c r="J39" s="4"/>
      <c r="K39" s="6" t="str">
        <f t="shared" si="9"/>
        <v>h</v>
      </c>
      <c r="L39" s="4">
        <f t="shared" si="10"/>
        <v>0.44062182282348528</v>
      </c>
      <c r="M39" s="4">
        <f t="shared" si="11"/>
        <v>0.55937817717651472</v>
      </c>
    </row>
    <row r="40" spans="1:13" x14ac:dyDescent="0.45">
      <c r="A40" s="16"/>
      <c r="B40" s="1" t="s">
        <v>39</v>
      </c>
      <c r="C40">
        <v>55353</v>
      </c>
      <c r="D40" s="4">
        <f t="shared" si="8"/>
        <v>3.2438029726509783E-2</v>
      </c>
      <c r="E40" s="16"/>
      <c r="F40" s="1" t="s">
        <v>39</v>
      </c>
      <c r="G40">
        <v>76230</v>
      </c>
      <c r="H40" s="4">
        <f t="shared" si="7"/>
        <v>4.7678436062235277E-2</v>
      </c>
      <c r="I40" s="4"/>
      <c r="J40" s="4"/>
      <c r="K40" s="6" t="str">
        <f t="shared" si="9"/>
        <v>i</v>
      </c>
      <c r="L40" s="4">
        <f t="shared" si="10"/>
        <v>0.40488592959210074</v>
      </c>
      <c r="M40" s="4">
        <f t="shared" si="11"/>
        <v>0.59511407040789921</v>
      </c>
    </row>
    <row r="41" spans="1:13" x14ac:dyDescent="0.45">
      <c r="A41" s="16"/>
      <c r="B41" s="1" t="s">
        <v>40</v>
      </c>
      <c r="C41">
        <v>1449</v>
      </c>
      <c r="D41" s="4">
        <f t="shared" si="8"/>
        <v>8.4914467280387102E-4</v>
      </c>
      <c r="E41" s="16"/>
      <c r="F41" s="1" t="s">
        <v>40</v>
      </c>
      <c r="G41">
        <v>139</v>
      </c>
      <c r="H41" s="4">
        <f t="shared" si="7"/>
        <v>8.6938247575110898E-5</v>
      </c>
      <c r="I41" s="4"/>
      <c r="J41" s="4"/>
      <c r="K41" s="6" t="str">
        <f t="shared" si="9"/>
        <v>j</v>
      </c>
      <c r="L41" s="4">
        <f t="shared" si="10"/>
        <v>0.90712548463130482</v>
      </c>
      <c r="M41" s="4">
        <f t="shared" si="11"/>
        <v>9.287451536869526E-2</v>
      </c>
    </row>
    <row r="42" spans="1:13" x14ac:dyDescent="0.45">
      <c r="A42" s="16"/>
      <c r="B42" s="1" t="s">
        <v>41</v>
      </c>
      <c r="C42">
        <v>34824</v>
      </c>
      <c r="D42" s="4">
        <f t="shared" si="8"/>
        <v>2.0407601163369222E-2</v>
      </c>
      <c r="E42" s="16"/>
      <c r="F42" s="1" t="s">
        <v>41</v>
      </c>
      <c r="G42">
        <v>578</v>
      </c>
      <c r="H42" s="4">
        <f t="shared" si="7"/>
        <v>3.6151300070801507E-4</v>
      </c>
      <c r="I42" s="4"/>
      <c r="J42" s="4"/>
      <c r="K42" s="6" t="str">
        <f t="shared" si="9"/>
        <v>k</v>
      </c>
      <c r="L42" s="4">
        <f t="shared" si="10"/>
        <v>0.98259372075996887</v>
      </c>
      <c r="M42" s="4">
        <f t="shared" si="11"/>
        <v>1.7406279240031176E-2</v>
      </c>
    </row>
    <row r="43" spans="1:13" x14ac:dyDescent="0.45">
      <c r="A43" s="16"/>
      <c r="B43" s="1" t="s">
        <v>42</v>
      </c>
      <c r="C43">
        <v>111521</v>
      </c>
      <c r="D43" s="4">
        <f t="shared" si="8"/>
        <v>6.5353666705148722E-2</v>
      </c>
      <c r="E43" s="16"/>
      <c r="F43" s="1" t="s">
        <v>42</v>
      </c>
      <c r="G43">
        <v>33909</v>
      </c>
      <c r="H43" s="4">
        <f t="shared" si="7"/>
        <v>2.1208554223197375E-2</v>
      </c>
      <c r="I43" s="4"/>
      <c r="J43" s="4"/>
      <c r="K43" s="6" t="str">
        <f t="shared" si="9"/>
        <v>l</v>
      </c>
      <c r="L43" s="4">
        <f t="shared" si="10"/>
        <v>0.7549906414629397</v>
      </c>
      <c r="M43" s="4">
        <f t="shared" si="11"/>
        <v>0.24500935853706032</v>
      </c>
    </row>
    <row r="44" spans="1:13" x14ac:dyDescent="0.45">
      <c r="A44" s="16"/>
      <c r="B44" s="1" t="s">
        <v>43</v>
      </c>
      <c r="C44">
        <v>56082</v>
      </c>
      <c r="D44" s="4">
        <f t="shared" si="8"/>
        <v>3.2865239158168871E-2</v>
      </c>
      <c r="E44" s="16"/>
      <c r="F44" s="1" t="s">
        <v>43</v>
      </c>
      <c r="G44">
        <v>6648</v>
      </c>
      <c r="H44" s="4">
        <f t="shared" si="7"/>
        <v>4.1580249631606994E-3</v>
      </c>
      <c r="I44" s="4"/>
      <c r="J44" s="4"/>
      <c r="K44" s="6" t="str">
        <f t="shared" si="9"/>
        <v>m</v>
      </c>
      <c r="L44" s="4">
        <f t="shared" si="10"/>
        <v>0.88769156199911592</v>
      </c>
      <c r="M44" s="4">
        <f t="shared" si="11"/>
        <v>0.11230843800088411</v>
      </c>
    </row>
    <row r="45" spans="1:13" x14ac:dyDescent="0.45">
      <c r="A45" s="16"/>
      <c r="B45" s="1" t="s">
        <v>44</v>
      </c>
      <c r="C45">
        <v>537262</v>
      </c>
      <c r="D45" s="4">
        <f t="shared" si="8"/>
        <v>0.31484690489989881</v>
      </c>
      <c r="E45" s="16"/>
      <c r="F45" s="1" t="s">
        <v>44</v>
      </c>
      <c r="G45">
        <v>182167</v>
      </c>
      <c r="H45" s="4">
        <f t="shared" si="7"/>
        <v>0.11393726435982177</v>
      </c>
      <c r="I45" s="4"/>
      <c r="J45" s="4"/>
      <c r="K45" s="6" t="str">
        <f t="shared" si="9"/>
        <v>n</v>
      </c>
      <c r="L45" s="4">
        <f t="shared" si="10"/>
        <v>0.73427828607448342</v>
      </c>
      <c r="M45" s="4">
        <f t="shared" si="11"/>
        <v>0.26572171392551663</v>
      </c>
    </row>
    <row r="46" spans="1:13" x14ac:dyDescent="0.45">
      <c r="A46" s="16"/>
      <c r="B46" s="1" t="s">
        <v>45</v>
      </c>
      <c r="C46">
        <v>102618</v>
      </c>
      <c r="D46" s="4">
        <f t="shared" si="8"/>
        <v>6.0136320244159859E-2</v>
      </c>
      <c r="E46" s="16"/>
      <c r="F46" s="1" t="s">
        <v>45</v>
      </c>
      <c r="G46">
        <v>3463</v>
      </c>
      <c r="H46" s="4">
        <f t="shared" si="7"/>
        <v>2.1659507291554607E-3</v>
      </c>
      <c r="I46" s="4"/>
      <c r="J46" s="4"/>
      <c r="K46" s="6" t="str">
        <f t="shared" si="9"/>
        <v>o</v>
      </c>
      <c r="L46" s="4">
        <f t="shared" si="10"/>
        <v>0.96523480291620256</v>
      </c>
      <c r="M46" s="4">
        <f t="shared" si="11"/>
        <v>3.476519708379746E-2</v>
      </c>
    </row>
    <row r="47" spans="1:13" x14ac:dyDescent="0.45">
      <c r="A47" s="16"/>
      <c r="B47" s="1" t="s">
        <v>46</v>
      </c>
      <c r="C47">
        <v>2580</v>
      </c>
      <c r="D47" s="4">
        <f t="shared" si="8"/>
        <v>1.5119346141021306E-3</v>
      </c>
      <c r="E47" s="16"/>
      <c r="F47" s="1" t="s">
        <v>46</v>
      </c>
      <c r="G47">
        <v>152</v>
      </c>
      <c r="H47" s="4">
        <f t="shared" si="7"/>
        <v>9.5069162815948597E-5</v>
      </c>
      <c r="I47" s="4"/>
      <c r="J47" s="4"/>
      <c r="K47" s="6" t="str">
        <f t="shared" si="9"/>
        <v>p</v>
      </c>
      <c r="L47" s="4">
        <f t="shared" si="10"/>
        <v>0.94084073467563789</v>
      </c>
      <c r="M47" s="4">
        <f t="shared" si="11"/>
        <v>5.9159265324362068E-2</v>
      </c>
    </row>
    <row r="48" spans="1:13" x14ac:dyDescent="0.45">
      <c r="A48" s="16"/>
      <c r="B48" s="1" t="s">
        <v>47</v>
      </c>
      <c r="C48">
        <v>328</v>
      </c>
      <c r="D48" s="4">
        <f t="shared" si="8"/>
        <v>1.9221494318817786E-4</v>
      </c>
      <c r="E48" s="16"/>
      <c r="F48" s="1" t="s">
        <v>47</v>
      </c>
      <c r="G48">
        <v>68</v>
      </c>
      <c r="H48" s="4">
        <f t="shared" si="7"/>
        <v>4.253094125976648E-5</v>
      </c>
      <c r="I48" s="4"/>
      <c r="J48" s="4"/>
      <c r="K48" s="6" t="str">
        <f t="shared" si="9"/>
        <v>q</v>
      </c>
      <c r="L48" s="4">
        <f t="shared" si="10"/>
        <v>0.81882135501635234</v>
      </c>
      <c r="M48" s="4">
        <f t="shared" si="11"/>
        <v>0.18117864498364764</v>
      </c>
    </row>
    <row r="49" spans="1:13" x14ac:dyDescent="0.45">
      <c r="A49" s="16"/>
      <c r="B49" s="1" t="s">
        <v>48</v>
      </c>
      <c r="C49">
        <v>162439</v>
      </c>
      <c r="D49" s="4">
        <f t="shared" si="8"/>
        <v>9.5192692550440314E-2</v>
      </c>
      <c r="E49" s="16"/>
      <c r="F49" s="1" t="s">
        <v>48</v>
      </c>
      <c r="G49">
        <v>53200</v>
      </c>
      <c r="H49" s="4">
        <f t="shared" si="7"/>
        <v>3.3274206985582012E-2</v>
      </c>
      <c r="I49" s="4"/>
      <c r="J49" s="4"/>
      <c r="K49" s="6" t="str">
        <f t="shared" si="9"/>
        <v>r</v>
      </c>
      <c r="L49" s="4">
        <f t="shared" si="10"/>
        <v>0.74099003629918014</v>
      </c>
      <c r="M49" s="4">
        <f t="shared" si="11"/>
        <v>0.25900996370081986</v>
      </c>
    </row>
    <row r="50" spans="1:13" x14ac:dyDescent="0.45">
      <c r="A50" s="16"/>
      <c r="B50" s="1" t="s">
        <v>49</v>
      </c>
      <c r="C50">
        <v>133040</v>
      </c>
      <c r="D50" s="4">
        <f t="shared" si="8"/>
        <v>7.796425622486336E-2</v>
      </c>
      <c r="E50" s="16"/>
      <c r="F50" s="1" t="s">
        <v>49</v>
      </c>
      <c r="G50">
        <v>18816</v>
      </c>
      <c r="H50" s="4">
        <f t="shared" si="7"/>
        <v>1.1768561628584796E-2</v>
      </c>
      <c r="I50" s="4"/>
      <c r="J50" s="4"/>
      <c r="K50" s="6" t="str">
        <f t="shared" si="9"/>
        <v>s</v>
      </c>
      <c r="L50" s="4">
        <f t="shared" si="10"/>
        <v>0.86884885697220349</v>
      </c>
      <c r="M50" s="4">
        <f t="shared" si="11"/>
        <v>0.13115114302779657</v>
      </c>
    </row>
    <row r="51" spans="1:13" x14ac:dyDescent="0.45">
      <c r="A51" s="16"/>
      <c r="B51" s="1" t="s">
        <v>50</v>
      </c>
      <c r="C51">
        <v>56026</v>
      </c>
      <c r="D51" s="4">
        <f t="shared" si="8"/>
        <v>3.2832421972746502E-2</v>
      </c>
      <c r="E51" s="16"/>
      <c r="F51" s="1" t="s">
        <v>50</v>
      </c>
      <c r="G51">
        <v>23570</v>
      </c>
      <c r="H51" s="4">
        <f t="shared" si="7"/>
        <v>1.4741974786657293E-2</v>
      </c>
      <c r="I51" s="4"/>
      <c r="J51" s="4"/>
      <c r="K51" s="6" t="str">
        <f t="shared" si="9"/>
        <v>t</v>
      </c>
      <c r="L51" s="4">
        <f t="shared" si="10"/>
        <v>0.69012797237952739</v>
      </c>
      <c r="M51" s="4">
        <f t="shared" si="11"/>
        <v>0.30987202762047256</v>
      </c>
    </row>
    <row r="52" spans="1:13" x14ac:dyDescent="0.45">
      <c r="A52" s="16"/>
      <c r="B52" s="1" t="s">
        <v>51</v>
      </c>
      <c r="C52">
        <v>5759</v>
      </c>
      <c r="D52" s="4">
        <f t="shared" si="8"/>
        <v>3.3748959079899885E-3</v>
      </c>
      <c r="E52" s="16"/>
      <c r="F52" s="1" t="s">
        <v>51</v>
      </c>
      <c r="G52">
        <v>1066</v>
      </c>
      <c r="H52" s="4">
        <f t="shared" si="7"/>
        <v>6.6673504974869215E-4</v>
      </c>
      <c r="I52" s="4"/>
      <c r="J52" s="4"/>
      <c r="K52" s="6" t="str">
        <f t="shared" si="9"/>
        <v>u</v>
      </c>
      <c r="L52" s="4">
        <f t="shared" si="10"/>
        <v>0.83503316935157901</v>
      </c>
      <c r="M52" s="4">
        <f t="shared" si="11"/>
        <v>0.16496683064842091</v>
      </c>
    </row>
    <row r="53" spans="1:13" x14ac:dyDescent="0.45">
      <c r="A53" s="16"/>
      <c r="B53" s="1" t="s">
        <v>52</v>
      </c>
      <c r="C53">
        <v>2864</v>
      </c>
      <c r="D53" s="4">
        <f t="shared" si="8"/>
        <v>1.6783646258870164E-3</v>
      </c>
      <c r="E53" s="16"/>
      <c r="F53" s="1" t="s">
        <v>52</v>
      </c>
      <c r="G53">
        <v>463</v>
      </c>
      <c r="H53" s="4">
        <f t="shared" si="7"/>
        <v>2.8958567357752766E-4</v>
      </c>
      <c r="I53" s="4"/>
      <c r="J53" s="4"/>
      <c r="K53" s="6" t="str">
        <f t="shared" si="9"/>
        <v>v</v>
      </c>
      <c r="L53" s="4">
        <f t="shared" si="10"/>
        <v>0.8528490919428604</v>
      </c>
      <c r="M53" s="4">
        <f t="shared" si="11"/>
        <v>0.14715090805713971</v>
      </c>
    </row>
    <row r="54" spans="1:13" x14ac:dyDescent="0.45">
      <c r="A54" s="16"/>
      <c r="B54" s="1" t="s">
        <v>53</v>
      </c>
      <c r="C54">
        <v>17057</v>
      </c>
      <c r="D54" s="4">
        <f t="shared" si="8"/>
        <v>9.9957630669535048E-3</v>
      </c>
      <c r="E54" s="16"/>
      <c r="F54" s="1" t="s">
        <v>53</v>
      </c>
      <c r="G54">
        <v>6664</v>
      </c>
      <c r="H54" s="4">
        <f t="shared" si="7"/>
        <v>4.168032243457115E-3</v>
      </c>
      <c r="I54" s="4"/>
      <c r="J54" s="4"/>
      <c r="K54" s="6" t="str">
        <f t="shared" si="9"/>
        <v>w</v>
      </c>
      <c r="L54" s="4">
        <f t="shared" si="10"/>
        <v>0.70572631472628355</v>
      </c>
      <c r="M54" s="4">
        <f t="shared" si="11"/>
        <v>0.29427368527371639</v>
      </c>
    </row>
    <row r="55" spans="1:13" x14ac:dyDescent="0.45">
      <c r="A55" s="16"/>
      <c r="B55" s="1" t="s">
        <v>54</v>
      </c>
      <c r="C55">
        <v>19912</v>
      </c>
      <c r="D55" s="4">
        <f t="shared" si="8"/>
        <v>1.1668853502326212E-2</v>
      </c>
      <c r="E55" s="16"/>
      <c r="F55" s="1" t="s">
        <v>54</v>
      </c>
      <c r="G55">
        <v>3347</v>
      </c>
      <c r="H55" s="4">
        <f t="shared" si="7"/>
        <v>2.0933979470064471E-3</v>
      </c>
      <c r="I55" s="4"/>
      <c r="J55" s="4"/>
      <c r="K55" s="6" t="str">
        <f t="shared" si="9"/>
        <v>x</v>
      </c>
      <c r="L55" s="4">
        <f t="shared" si="10"/>
        <v>0.8478884102129991</v>
      </c>
      <c r="M55" s="4">
        <f t="shared" si="11"/>
        <v>0.15211158978700082</v>
      </c>
    </row>
    <row r="56" spans="1:13" x14ac:dyDescent="0.45">
      <c r="A56" s="16"/>
      <c r="B56" s="1" t="s">
        <v>55</v>
      </c>
      <c r="C56">
        <v>81538</v>
      </c>
      <c r="D56" s="4">
        <f t="shared" si="8"/>
        <v>4.7782994017309892E-2</v>
      </c>
      <c r="E56" s="16"/>
      <c r="F56" s="1" t="s">
        <v>55</v>
      </c>
      <c r="G56">
        <v>176389</v>
      </c>
      <c r="H56" s="4">
        <f t="shared" si="7"/>
        <v>0.11032338526277867</v>
      </c>
      <c r="I56" s="4"/>
      <c r="J56" s="4"/>
      <c r="K56" s="6" t="str">
        <f t="shared" si="9"/>
        <v>y</v>
      </c>
      <c r="L56" s="4">
        <f t="shared" si="10"/>
        <v>0.302220531738706</v>
      </c>
      <c r="M56" s="4">
        <f t="shared" si="11"/>
        <v>0.697779468261294</v>
      </c>
    </row>
    <row r="57" spans="1:13" x14ac:dyDescent="0.45">
      <c r="A57" s="16"/>
      <c r="B57" s="1" t="s">
        <v>56</v>
      </c>
      <c r="C57">
        <v>3432</v>
      </c>
      <c r="D57" s="4">
        <f t="shared" si="8"/>
        <v>2.0112246494567877E-3</v>
      </c>
      <c r="E57" s="16"/>
      <c r="F57" s="1" t="s">
        <v>56</v>
      </c>
      <c r="G57">
        <v>1047</v>
      </c>
      <c r="H57" s="4">
        <f t="shared" si="7"/>
        <v>6.5485140439669855E-4</v>
      </c>
      <c r="I57" s="4"/>
      <c r="J57" s="4"/>
      <c r="K57" s="6" t="str">
        <f t="shared" si="9"/>
        <v>z</v>
      </c>
      <c r="L57" s="4">
        <f t="shared" si="10"/>
        <v>0.75437632266709309</v>
      </c>
      <c r="M57" s="4">
        <f t="shared" si="11"/>
        <v>0.24562367733290696</v>
      </c>
    </row>
    <row r="59" spans="1:13" x14ac:dyDescent="0.45">
      <c r="A59" s="1" t="s">
        <v>0</v>
      </c>
      <c r="B59" s="1" t="s">
        <v>3</v>
      </c>
      <c r="C59" s="1" t="s">
        <v>2</v>
      </c>
      <c r="E59" s="1" t="s">
        <v>0</v>
      </c>
      <c r="F59" s="1" t="s">
        <v>3</v>
      </c>
      <c r="G59" s="1" t="s">
        <v>2</v>
      </c>
      <c r="L59" s="7" t="s">
        <v>4</v>
      </c>
      <c r="M59" s="7" t="s">
        <v>10</v>
      </c>
    </row>
    <row r="60" spans="1:13" x14ac:dyDescent="0.45">
      <c r="A60" s="16" t="s">
        <v>4</v>
      </c>
      <c r="B60" s="1">
        <v>2</v>
      </c>
      <c r="C60">
        <v>1717</v>
      </c>
      <c r="D60" s="4">
        <f t="shared" ref="D60:D72" si="12">C60/$C$1</f>
        <v>1.0061983458966505E-3</v>
      </c>
      <c r="E60" s="16" t="s">
        <v>10</v>
      </c>
      <c r="F60" s="1">
        <v>2</v>
      </c>
      <c r="G60">
        <v>260</v>
      </c>
      <c r="H60" s="4">
        <f t="shared" ref="H60:H72" si="13">G60/$G$1</f>
        <v>1.626183048167542E-4</v>
      </c>
      <c r="I60" s="15">
        <f>G60+C60</f>
        <v>1977</v>
      </c>
      <c r="J60" s="4">
        <f>I60/$I$1</f>
        <v>5.9813769510952094E-4</v>
      </c>
      <c r="K60">
        <f>F60</f>
        <v>2</v>
      </c>
      <c r="L60" s="4">
        <f>D60/(D60+H60)</f>
        <v>0.86086927772846356</v>
      </c>
      <c r="M60" s="4">
        <f>H60/(D60+H60)</f>
        <v>0.13913072227153653</v>
      </c>
    </row>
    <row r="61" spans="1:13" x14ac:dyDescent="0.45">
      <c r="A61" s="16"/>
      <c r="B61" s="1">
        <v>3</v>
      </c>
      <c r="C61">
        <v>45660</v>
      </c>
      <c r="D61" s="4">
        <f t="shared" si="12"/>
        <v>2.675772654259817E-2</v>
      </c>
      <c r="E61" s="16"/>
      <c r="F61" s="1">
        <v>3</v>
      </c>
      <c r="G61">
        <v>56779</v>
      </c>
      <c r="H61" s="4">
        <f t="shared" si="13"/>
        <v>3.5512710496886486E-2</v>
      </c>
      <c r="I61" s="15">
        <f t="shared" ref="I61:I68" si="14">G61+C61</f>
        <v>102439</v>
      </c>
      <c r="J61" s="4">
        <f t="shared" ref="J61:J72" si="15">I61/$I$1</f>
        <v>3.0992730070472541E-2</v>
      </c>
      <c r="K61">
        <f t="shared" ref="K61:K72" si="16">F61</f>
        <v>3</v>
      </c>
      <c r="L61" s="4">
        <f t="shared" ref="L61:L72" si="17">D61/(D61+H61)</f>
        <v>0.42970192301093918</v>
      </c>
      <c r="M61" s="4">
        <f t="shared" ref="M61:M72" si="18">H61/(D61+H61)</f>
        <v>0.57029807698906088</v>
      </c>
    </row>
    <row r="62" spans="1:13" x14ac:dyDescent="0.45">
      <c r="A62" s="16"/>
      <c r="B62" s="1">
        <v>4</v>
      </c>
      <c r="C62">
        <v>276102</v>
      </c>
      <c r="D62" s="4">
        <f t="shared" si="12"/>
        <v>0.16180161659799475</v>
      </c>
      <c r="E62" s="16"/>
      <c r="F62" s="1">
        <v>4</v>
      </c>
      <c r="G62">
        <v>212971</v>
      </c>
      <c r="H62" s="4">
        <f t="shared" si="13"/>
        <v>0.13320378075049599</v>
      </c>
      <c r="I62" s="15">
        <f t="shared" si="14"/>
        <v>489073</v>
      </c>
      <c r="J62" s="4">
        <f t="shared" si="15"/>
        <v>0.14796813199812783</v>
      </c>
      <c r="K62">
        <f t="shared" si="16"/>
        <v>4</v>
      </c>
      <c r="L62" s="4">
        <f t="shared" si="17"/>
        <v>0.54847002140390677</v>
      </c>
      <c r="M62" s="4">
        <f t="shared" si="18"/>
        <v>0.45152997859609317</v>
      </c>
    </row>
    <row r="63" spans="1:13" x14ac:dyDescent="0.45">
      <c r="A63" s="16"/>
      <c r="B63" s="1">
        <v>5</v>
      </c>
      <c r="C63">
        <v>445167</v>
      </c>
      <c r="D63" s="4">
        <f t="shared" si="12"/>
        <v>0.26087728540930355</v>
      </c>
      <c r="E63" s="16"/>
      <c r="F63" s="1">
        <v>5</v>
      </c>
      <c r="G63">
        <v>338540</v>
      </c>
      <c r="H63" s="4">
        <f t="shared" si="13"/>
        <v>0.21174154197178446</v>
      </c>
      <c r="I63" s="15">
        <f t="shared" si="14"/>
        <v>783707</v>
      </c>
      <c r="J63" s="4">
        <f t="shared" si="15"/>
        <v>0.23710910400667543</v>
      </c>
      <c r="K63">
        <f t="shared" si="16"/>
        <v>5</v>
      </c>
      <c r="L63" s="4">
        <f t="shared" si="17"/>
        <v>0.55198242282241894</v>
      </c>
      <c r="M63" s="4">
        <f t="shared" si="18"/>
        <v>0.44801757717758106</v>
      </c>
    </row>
    <row r="64" spans="1:13" x14ac:dyDescent="0.45">
      <c r="A64" s="16"/>
      <c r="B64" s="1">
        <v>6</v>
      </c>
      <c r="C64">
        <v>507343</v>
      </c>
      <c r="D64" s="4">
        <f t="shared" si="12"/>
        <v>0.29731373756682838</v>
      </c>
      <c r="E64" s="16"/>
      <c r="F64" s="1">
        <v>6</v>
      </c>
      <c r="G64">
        <v>459319</v>
      </c>
      <c r="H64" s="4">
        <f t="shared" si="13"/>
        <v>0.28728337365433354</v>
      </c>
      <c r="I64" s="15">
        <f t="shared" si="14"/>
        <v>966662</v>
      </c>
      <c r="J64" s="4">
        <f t="shared" si="15"/>
        <v>0.29246180102678793</v>
      </c>
      <c r="K64">
        <f t="shared" si="16"/>
        <v>6</v>
      </c>
      <c r="L64" s="4">
        <f t="shared" si="17"/>
        <v>0.50857886886538195</v>
      </c>
      <c r="M64" s="4">
        <f t="shared" si="18"/>
        <v>0.49142113113461816</v>
      </c>
    </row>
    <row r="65" spans="1:13" x14ac:dyDescent="0.45">
      <c r="A65" s="16"/>
      <c r="B65" s="1">
        <v>7</v>
      </c>
      <c r="C65">
        <v>268933</v>
      </c>
      <c r="D65" s="4">
        <f t="shared" si="12"/>
        <v>0.1576004308427629</v>
      </c>
      <c r="E65" s="16"/>
      <c r="F65" s="1">
        <v>7</v>
      </c>
      <c r="G65">
        <v>305725</v>
      </c>
      <c r="H65" s="4">
        <f t="shared" si="13"/>
        <v>0.19121723553885453</v>
      </c>
      <c r="I65" s="15">
        <f t="shared" si="14"/>
        <v>574658</v>
      </c>
      <c r="J65" s="4">
        <f t="shared" si="15"/>
        <v>0.17386171552668037</v>
      </c>
      <c r="K65">
        <f t="shared" si="16"/>
        <v>7</v>
      </c>
      <c r="L65" s="4">
        <f t="shared" si="17"/>
        <v>0.45181321369870958</v>
      </c>
      <c r="M65" s="4">
        <f t="shared" si="18"/>
        <v>0.54818678630129047</v>
      </c>
    </row>
    <row r="66" spans="1:13" x14ac:dyDescent="0.45">
      <c r="A66" s="16"/>
      <c r="B66" s="1">
        <v>8</v>
      </c>
      <c r="C66">
        <v>105519</v>
      </c>
      <c r="D66" s="4">
        <f t="shared" si="12"/>
        <v>6.183636765327237E-2</v>
      </c>
      <c r="E66" s="16"/>
      <c r="F66" s="1">
        <v>8</v>
      </c>
      <c r="G66">
        <v>144328</v>
      </c>
      <c r="H66" s="4">
        <f t="shared" si="13"/>
        <v>9.0270671913817296E-2</v>
      </c>
      <c r="I66" s="15">
        <f t="shared" si="14"/>
        <v>249847</v>
      </c>
      <c r="J66" s="4">
        <f t="shared" si="15"/>
        <v>7.5590747956514145E-2</v>
      </c>
      <c r="K66">
        <f t="shared" si="16"/>
        <v>8</v>
      </c>
      <c r="L66" s="4">
        <f t="shared" si="17"/>
        <v>0.40653192534194504</v>
      </c>
      <c r="M66" s="4">
        <f t="shared" si="18"/>
        <v>0.59346807465805507</v>
      </c>
    </row>
    <row r="67" spans="1:13" x14ac:dyDescent="0.45">
      <c r="A67" s="16"/>
      <c r="B67" s="1">
        <v>9</v>
      </c>
      <c r="C67">
        <v>43583</v>
      </c>
      <c r="D67" s="4">
        <f t="shared" si="12"/>
        <v>2.5540560576129131E-2</v>
      </c>
      <c r="E67" s="16"/>
      <c r="F67" s="1">
        <v>9</v>
      </c>
      <c r="G67">
        <v>72152</v>
      </c>
      <c r="H67" s="4">
        <f t="shared" si="13"/>
        <v>4.5127830496686339E-2</v>
      </c>
      <c r="I67" s="15">
        <f t="shared" si="14"/>
        <v>115735</v>
      </c>
      <c r="J67" s="4">
        <f t="shared" si="15"/>
        <v>3.5015410290086195E-2</v>
      </c>
      <c r="K67">
        <f t="shared" si="16"/>
        <v>9</v>
      </c>
      <c r="L67" s="4">
        <f t="shared" si="17"/>
        <v>0.36141420780066413</v>
      </c>
      <c r="M67" s="4">
        <f t="shared" si="18"/>
        <v>0.63858579219933576</v>
      </c>
    </row>
    <row r="68" spans="1:13" x14ac:dyDescent="0.45">
      <c r="A68" s="16"/>
      <c r="B68" s="1">
        <v>10</v>
      </c>
      <c r="C68">
        <v>3720</v>
      </c>
      <c r="D68" s="4">
        <f t="shared" si="12"/>
        <v>2.1799987459147001E-3</v>
      </c>
      <c r="E68" s="16"/>
      <c r="F68" s="1">
        <v>10</v>
      </c>
      <c r="G68">
        <v>8217</v>
      </c>
      <c r="H68" s="4">
        <f t="shared" si="13"/>
        <v>5.1393638872279587E-3</v>
      </c>
      <c r="I68" s="15">
        <f t="shared" si="14"/>
        <v>11937</v>
      </c>
      <c r="J68" s="4">
        <f t="shared" si="15"/>
        <v>3.6115172820042241E-3</v>
      </c>
      <c r="K68">
        <f t="shared" si="16"/>
        <v>10</v>
      </c>
      <c r="L68" s="4">
        <f t="shared" si="17"/>
        <v>0.29783996984156674</v>
      </c>
      <c r="M68" s="4">
        <f t="shared" si="18"/>
        <v>0.7021600301584332</v>
      </c>
    </row>
    <row r="69" spans="1:13" x14ac:dyDescent="0.45">
      <c r="A69" s="16"/>
      <c r="B69" s="1">
        <v>11</v>
      </c>
      <c r="C69">
        <v>8348</v>
      </c>
      <c r="D69" s="4">
        <f t="shared" si="12"/>
        <v>4.8921047126064291E-3</v>
      </c>
      <c r="E69" s="16"/>
      <c r="F69" s="1">
        <v>11</v>
      </c>
      <c r="G69">
        <v>334</v>
      </c>
      <c r="H69" s="4">
        <f t="shared" si="13"/>
        <v>2.0890197618767654E-4</v>
      </c>
      <c r="I69" s="15">
        <f t="shared" ref="I69:I72" si="19">G69+C69</f>
        <v>8682</v>
      </c>
      <c r="J69" s="4">
        <f t="shared" si="15"/>
        <v>2.626723049540142E-3</v>
      </c>
      <c r="K69">
        <f t="shared" si="16"/>
        <v>11</v>
      </c>
      <c r="L69" s="4">
        <f t="shared" si="17"/>
        <v>0.95904691192689617</v>
      </c>
      <c r="M69" s="4">
        <f t="shared" si="18"/>
        <v>4.0953088073103786E-2</v>
      </c>
    </row>
    <row r="70" spans="1:13" x14ac:dyDescent="0.45">
      <c r="A70" s="16"/>
      <c r="B70" s="1">
        <v>12</v>
      </c>
      <c r="C70">
        <v>203</v>
      </c>
      <c r="D70" s="4">
        <f t="shared" si="12"/>
        <v>1.1896229715609787E-4</v>
      </c>
      <c r="E70" s="16"/>
      <c r="F70" s="1">
        <v>12</v>
      </c>
      <c r="G70">
        <v>64</v>
      </c>
      <c r="H70" s="4">
        <f t="shared" si="13"/>
        <v>4.0029121185662571E-5</v>
      </c>
      <c r="I70" s="15">
        <f t="shared" si="19"/>
        <v>267</v>
      </c>
      <c r="J70" s="4">
        <f t="shared" si="15"/>
        <v>8.0780356395671258E-5</v>
      </c>
      <c r="K70">
        <f t="shared" si="16"/>
        <v>12</v>
      </c>
      <c r="L70" s="4">
        <f t="shared" si="17"/>
        <v>0.74823093219020242</v>
      </c>
      <c r="M70" s="4">
        <f t="shared" si="18"/>
        <v>0.25176906780979752</v>
      </c>
    </row>
    <row r="71" spans="1:13" x14ac:dyDescent="0.45">
      <c r="A71" s="16"/>
      <c r="B71" s="1">
        <v>13</v>
      </c>
      <c r="C71">
        <v>113</v>
      </c>
      <c r="D71" s="4">
        <f t="shared" si="12"/>
        <v>6.6220392013000294E-5</v>
      </c>
      <c r="E71" s="16"/>
      <c r="F71" s="1">
        <v>13</v>
      </c>
      <c r="G71">
        <v>132</v>
      </c>
      <c r="H71" s="4">
        <f t="shared" si="13"/>
        <v>8.2560062445429045E-5</v>
      </c>
      <c r="I71" s="15">
        <f t="shared" si="19"/>
        <v>245</v>
      </c>
      <c r="J71" s="4">
        <f t="shared" si="15"/>
        <v>7.4124297067188987E-5</v>
      </c>
      <c r="K71">
        <f t="shared" si="16"/>
        <v>13</v>
      </c>
      <c r="L71" s="4">
        <f t="shared" si="17"/>
        <v>0.44508798050151743</v>
      </c>
      <c r="M71" s="4">
        <f t="shared" si="18"/>
        <v>0.55491201949848268</v>
      </c>
    </row>
    <row r="72" spans="1:13" x14ac:dyDescent="0.45">
      <c r="A72" s="16"/>
      <c r="B72" s="1">
        <v>14</v>
      </c>
      <c r="C72">
        <v>15</v>
      </c>
      <c r="D72" s="4">
        <f t="shared" si="12"/>
        <v>8.7903175238495957E-6</v>
      </c>
      <c r="E72" s="16"/>
      <c r="F72" s="1">
        <v>14</v>
      </c>
      <c r="G72">
        <v>15</v>
      </c>
      <c r="H72" s="4">
        <f t="shared" si="13"/>
        <v>9.3818252778896639E-6</v>
      </c>
      <c r="I72" s="15">
        <f t="shared" si="19"/>
        <v>30</v>
      </c>
      <c r="J72" s="4">
        <f t="shared" si="15"/>
        <v>9.0764445388394677E-6</v>
      </c>
      <c r="K72">
        <f t="shared" si="16"/>
        <v>14</v>
      </c>
      <c r="L72" s="4">
        <f t="shared" si="17"/>
        <v>0.48372487602333131</v>
      </c>
      <c r="M72" s="4">
        <f t="shared" si="18"/>
        <v>0.51627512397666875</v>
      </c>
    </row>
    <row r="73" spans="1:13" x14ac:dyDescent="0.45">
      <c r="L73" s="4"/>
      <c r="M73" s="4"/>
    </row>
    <row r="74" spans="1:13" x14ac:dyDescent="0.45">
      <c r="L74" s="4"/>
      <c r="M74" s="4"/>
    </row>
    <row r="75" spans="1:13" x14ac:dyDescent="0.45">
      <c r="L75" s="4"/>
      <c r="M75" s="4"/>
    </row>
    <row r="76" spans="1:13" x14ac:dyDescent="0.45">
      <c r="L76" s="4"/>
      <c r="M76" s="4"/>
    </row>
    <row r="77" spans="1:13" x14ac:dyDescent="0.45">
      <c r="L77" s="4"/>
      <c r="M77" s="4"/>
    </row>
    <row r="78" spans="1:13" x14ac:dyDescent="0.45">
      <c r="L78" s="4"/>
      <c r="M78" s="4"/>
    </row>
    <row r="79" spans="1:13" x14ac:dyDescent="0.45">
      <c r="L79" s="4"/>
      <c r="M79" s="4"/>
    </row>
    <row r="80" spans="1:13" x14ac:dyDescent="0.45">
      <c r="L80" s="4"/>
      <c r="M80" s="4"/>
    </row>
    <row r="81" spans="12:13" x14ac:dyDescent="0.45">
      <c r="L81" s="4"/>
      <c r="M81" s="4"/>
    </row>
    <row r="82" spans="12:13" x14ac:dyDescent="0.45">
      <c r="L82" s="4"/>
      <c r="M82" s="4"/>
    </row>
    <row r="83" spans="12:13" x14ac:dyDescent="0.45">
      <c r="L83" s="4"/>
      <c r="M83" s="4"/>
    </row>
    <row r="84" spans="12:13" x14ac:dyDescent="0.45">
      <c r="L84" s="4"/>
      <c r="M84" s="4"/>
    </row>
    <row r="85" spans="12:13" x14ac:dyDescent="0.45">
      <c r="L85" s="4"/>
      <c r="M85" s="4"/>
    </row>
  </sheetData>
  <mergeCells count="6">
    <mergeCell ref="A3:A28"/>
    <mergeCell ref="A32:A57"/>
    <mergeCell ref="E3:E28"/>
    <mergeCell ref="E32:E57"/>
    <mergeCell ref="A60:A72"/>
    <mergeCell ref="E60:E7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FE21-DFA7-4CD8-8457-BECDE4DC8419}">
  <dimension ref="B6:C19"/>
  <sheetViews>
    <sheetView workbookViewId="0">
      <selection activeCell="C11" sqref="C11"/>
    </sheetView>
  </sheetViews>
  <sheetFormatPr defaultRowHeight="14.25" x14ac:dyDescent="0.45"/>
  <sheetData>
    <row r="6" spans="2:3" x14ac:dyDescent="0.45">
      <c r="B6" t="s">
        <v>173</v>
      </c>
      <c r="C6" t="s">
        <v>170</v>
      </c>
    </row>
    <row r="7" spans="2:3" x14ac:dyDescent="0.45">
      <c r="B7" s="1">
        <v>2</v>
      </c>
      <c r="C7" s="4">
        <v>5.9813769510952094E-4</v>
      </c>
    </row>
    <row r="8" spans="2:3" x14ac:dyDescent="0.45">
      <c r="B8" s="1">
        <v>3</v>
      </c>
      <c r="C8" s="4">
        <v>3.0992730070472541E-2</v>
      </c>
    </row>
    <row r="9" spans="2:3" x14ac:dyDescent="0.45">
      <c r="B9" s="1">
        <v>4</v>
      </c>
      <c r="C9" s="4">
        <v>0.14796813199812783</v>
      </c>
    </row>
    <row r="10" spans="2:3" x14ac:dyDescent="0.45">
      <c r="B10" s="1">
        <v>5</v>
      </c>
      <c r="C10" s="4">
        <v>0.23710910400667543</v>
      </c>
    </row>
    <row r="11" spans="2:3" x14ac:dyDescent="0.45">
      <c r="B11" s="1">
        <v>6</v>
      </c>
      <c r="C11" s="4">
        <v>0.29246180102678793</v>
      </c>
    </row>
    <row r="12" spans="2:3" x14ac:dyDescent="0.45">
      <c r="B12" s="1">
        <v>7</v>
      </c>
      <c r="C12" s="4">
        <v>0.17386171552668037</v>
      </c>
    </row>
    <row r="13" spans="2:3" x14ac:dyDescent="0.45">
      <c r="B13" s="1">
        <v>8</v>
      </c>
      <c r="C13" s="4">
        <v>7.5590747956514145E-2</v>
      </c>
    </row>
    <row r="14" spans="2:3" x14ac:dyDescent="0.45">
      <c r="B14" s="1">
        <v>9</v>
      </c>
      <c r="C14" s="4">
        <v>3.5015410290086195E-2</v>
      </c>
    </row>
    <row r="15" spans="2:3" x14ac:dyDescent="0.45">
      <c r="B15" s="1">
        <v>10</v>
      </c>
      <c r="C15" s="4">
        <v>3.6115172820042241E-3</v>
      </c>
    </row>
    <row r="16" spans="2:3" x14ac:dyDescent="0.45">
      <c r="B16" s="1">
        <v>11</v>
      </c>
      <c r="C16" s="4">
        <v>2.626723049540142E-3</v>
      </c>
    </row>
    <row r="17" spans="2:3" x14ac:dyDescent="0.45">
      <c r="B17" s="1">
        <v>12</v>
      </c>
      <c r="C17" s="4">
        <v>8.0780356395671258E-5</v>
      </c>
    </row>
    <row r="18" spans="2:3" x14ac:dyDescent="0.45">
      <c r="B18" s="1">
        <v>13</v>
      </c>
      <c r="C18" s="4">
        <v>7.4124297067188987E-5</v>
      </c>
    </row>
    <row r="19" spans="2:3" x14ac:dyDescent="0.45">
      <c r="B19" s="1">
        <v>14</v>
      </c>
      <c r="C19" s="4">
        <v>9.0764445388394677E-6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0F31-9934-4104-9751-BEFB8FC5EAD5}">
  <dimension ref="D6:G14"/>
  <sheetViews>
    <sheetView tabSelected="1" workbookViewId="0">
      <selection activeCell="F15" sqref="F15"/>
    </sheetView>
  </sheetViews>
  <sheetFormatPr defaultRowHeight="14.25" x14ac:dyDescent="0.45"/>
  <sheetData>
    <row r="6" spans="4:7" x14ac:dyDescent="0.45">
      <c r="D6" t="s">
        <v>58</v>
      </c>
      <c r="E6" t="s">
        <v>176</v>
      </c>
      <c r="F6" t="s">
        <v>177</v>
      </c>
    </row>
    <row r="7" spans="4:7" x14ac:dyDescent="0.45">
      <c r="D7" s="17" t="s">
        <v>180</v>
      </c>
      <c r="E7" s="17">
        <v>2146</v>
      </c>
      <c r="F7" s="17">
        <v>1078</v>
      </c>
      <c r="G7" s="17">
        <f>F7/E7</f>
        <v>0.50232991612301958</v>
      </c>
    </row>
    <row r="8" spans="4:7" x14ac:dyDescent="0.45">
      <c r="D8" s="17" t="s">
        <v>179</v>
      </c>
      <c r="E8" s="17">
        <v>2771</v>
      </c>
      <c r="F8" s="17">
        <v>1540</v>
      </c>
      <c r="G8" s="17">
        <f>F8/E8</f>
        <v>0.55575604474918805</v>
      </c>
    </row>
    <row r="9" spans="4:7" x14ac:dyDescent="0.45">
      <c r="D9" s="17" t="s">
        <v>178</v>
      </c>
      <c r="E9" s="17">
        <v>3797</v>
      </c>
      <c r="F9" s="17">
        <v>2131</v>
      </c>
      <c r="G9" s="17">
        <f>F9/E9</f>
        <v>0.56123255201474853</v>
      </c>
    </row>
    <row r="10" spans="4:7" x14ac:dyDescent="0.45">
      <c r="D10" s="17" t="s">
        <v>182</v>
      </c>
      <c r="E10" s="17">
        <v>1797</v>
      </c>
      <c r="F10" s="17">
        <v>1316</v>
      </c>
      <c r="G10" s="17">
        <f>F10/E10</f>
        <v>0.73233166388425153</v>
      </c>
    </row>
    <row r="11" spans="4:7" x14ac:dyDescent="0.45">
      <c r="D11" s="17" t="s">
        <v>183</v>
      </c>
      <c r="E11" s="17">
        <v>1504</v>
      </c>
      <c r="F11" s="17">
        <v>1103</v>
      </c>
      <c r="G11" s="17">
        <f>F11/E11</f>
        <v>0.7333776595744681</v>
      </c>
    </row>
    <row r="12" spans="4:7" x14ac:dyDescent="0.45">
      <c r="D12" s="17" t="s">
        <v>181</v>
      </c>
      <c r="E12" s="17">
        <v>1853</v>
      </c>
      <c r="F12" s="17">
        <v>2219</v>
      </c>
      <c r="G12" s="17">
        <f>F12/E12</f>
        <v>1.197517539125742</v>
      </c>
    </row>
    <row r="13" spans="4:7" x14ac:dyDescent="0.45">
      <c r="D13" s="17" t="s">
        <v>185</v>
      </c>
      <c r="E13" s="17">
        <v>1080</v>
      </c>
      <c r="F13" s="17">
        <v>1429</v>
      </c>
      <c r="G13" s="17">
        <f>F13/E13</f>
        <v>1.3231481481481482</v>
      </c>
    </row>
    <row r="14" spans="4:7" x14ac:dyDescent="0.45">
      <c r="D14" s="17" t="s">
        <v>184</v>
      </c>
      <c r="E14" s="17">
        <v>1268</v>
      </c>
      <c r="F14" s="17">
        <v>1774</v>
      </c>
      <c r="G14" s="17">
        <f>F14/E14</f>
        <v>1.3990536277602523</v>
      </c>
    </row>
  </sheetData>
  <autoFilter ref="D6:G6" xr:uid="{5F526D2C-E065-4C90-873D-58A53878CC82}">
    <sortState xmlns:xlrd2="http://schemas.microsoft.com/office/spreadsheetml/2017/richdata2" ref="D7:G18">
      <sortCondition ref="G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095A-411E-40CB-ABDA-253505D14A6A}">
  <dimension ref="B2:P61"/>
  <sheetViews>
    <sheetView topLeftCell="A31" workbookViewId="0">
      <selection activeCell="H36" sqref="H36:I61"/>
    </sheetView>
  </sheetViews>
  <sheetFormatPr defaultRowHeight="14.25" x14ac:dyDescent="0.45"/>
  <cols>
    <col min="8" max="8" width="9.46484375" bestFit="1" customWidth="1"/>
    <col min="9" max="9" width="6.46484375" bestFit="1" customWidth="1"/>
    <col min="10" max="10" width="5.9296875" bestFit="1" customWidth="1"/>
  </cols>
  <sheetData>
    <row r="2" spans="2:16" x14ac:dyDescent="0.45">
      <c r="B2" s="2" t="s">
        <v>163</v>
      </c>
      <c r="E2" s="2" t="s">
        <v>164</v>
      </c>
    </row>
    <row r="3" spans="2:16" x14ac:dyDescent="0.45">
      <c r="B3" s="1" t="s">
        <v>1</v>
      </c>
      <c r="C3" s="1" t="s">
        <v>57</v>
      </c>
      <c r="E3" s="1" t="s">
        <v>1</v>
      </c>
      <c r="F3" s="1" t="s">
        <v>57</v>
      </c>
      <c r="H3" s="5" t="s">
        <v>165</v>
      </c>
      <c r="I3" s="5" t="s">
        <v>166</v>
      </c>
      <c r="J3" s="5" t="s">
        <v>167</v>
      </c>
      <c r="K3" s="5" t="s">
        <v>168</v>
      </c>
      <c r="M3" s="5" t="s">
        <v>165</v>
      </c>
      <c r="N3" s="5" t="s">
        <v>171</v>
      </c>
      <c r="O3" s="5" t="s">
        <v>172</v>
      </c>
      <c r="P3" s="5" t="s">
        <v>168</v>
      </c>
    </row>
    <row r="4" spans="2:16" x14ac:dyDescent="0.45">
      <c r="B4" s="1" t="s">
        <v>5</v>
      </c>
      <c r="C4" s="4">
        <v>0.10336475774177915</v>
      </c>
      <c r="E4" s="1" t="s">
        <v>5</v>
      </c>
      <c r="F4" s="4">
        <v>0.17063038360407196</v>
      </c>
      <c r="H4" s="12" t="str">
        <f>E4</f>
        <v>A</v>
      </c>
      <c r="I4" s="3">
        <f>C4/(C4+F4)</f>
        <v>0.3772503309148344</v>
      </c>
      <c r="J4" s="3">
        <f>F4/(C4+F4)</f>
        <v>0.6227496690851656</v>
      </c>
      <c r="K4" s="13">
        <f>J4-I4</f>
        <v>0.2454993381703312</v>
      </c>
      <c r="M4" s="12" t="s">
        <v>25</v>
      </c>
      <c r="N4" s="3">
        <v>0.7636991557034094</v>
      </c>
      <c r="O4" s="3">
        <v>0.23630084429659051</v>
      </c>
      <c r="P4" s="13">
        <v>0.52739831140681892</v>
      </c>
    </row>
    <row r="5" spans="2:16" x14ac:dyDescent="0.45">
      <c r="B5" s="1" t="s">
        <v>6</v>
      </c>
      <c r="C5" s="4">
        <v>5.0040933578602724E-2</v>
      </c>
      <c r="E5" s="1" t="s">
        <v>6</v>
      </c>
      <c r="F5" s="4">
        <v>3.1179558128538513E-2</v>
      </c>
      <c r="H5" s="12" t="str">
        <f t="shared" ref="H5:H29" si="0">E5</f>
        <v>B</v>
      </c>
      <c r="I5" s="3">
        <f t="shared" ref="I5:I29" si="1">C5/(C5+F5)</f>
        <v>0.61611217227096549</v>
      </c>
      <c r="J5" s="3">
        <f t="shared" ref="J5:J29" si="2">F5/(C5+F5)</f>
        <v>0.38388782772903451</v>
      </c>
      <c r="K5" s="13">
        <f t="shared" ref="K5:K29" si="3">J5-I5</f>
        <v>-0.23222434454193097</v>
      </c>
      <c r="M5" s="12" t="s">
        <v>22</v>
      </c>
      <c r="N5" s="3">
        <v>0.63956194686494194</v>
      </c>
      <c r="O5" s="3">
        <v>0.36043805313505806</v>
      </c>
      <c r="P5" s="13">
        <v>0.27912389372988389</v>
      </c>
    </row>
    <row r="6" spans="2:16" x14ac:dyDescent="0.45">
      <c r="B6" s="1" t="s">
        <v>7</v>
      </c>
      <c r="C6" s="4">
        <v>7.1920619916632622E-2</v>
      </c>
      <c r="E6" s="1" t="s">
        <v>7</v>
      </c>
      <c r="F6" s="4">
        <v>5.7811432817374643E-2</v>
      </c>
      <c r="H6" s="12" t="str">
        <f t="shared" si="0"/>
        <v>C</v>
      </c>
      <c r="I6" s="3">
        <f t="shared" si="1"/>
        <v>0.55437818488922852</v>
      </c>
      <c r="J6" s="3">
        <f t="shared" si="2"/>
        <v>0.44562181511077154</v>
      </c>
      <c r="K6" s="13">
        <f t="shared" si="3"/>
        <v>-0.10875636977845698</v>
      </c>
      <c r="M6" s="12" t="s">
        <v>5</v>
      </c>
      <c r="N6" s="3">
        <v>0.6227496690851656</v>
      </c>
      <c r="O6" s="3">
        <v>0.3772503309148344</v>
      </c>
      <c r="P6" s="13">
        <v>0.2454993381703312</v>
      </c>
    </row>
    <row r="7" spans="2:16" x14ac:dyDescent="0.45">
      <c r="B7" s="1" t="s">
        <v>8</v>
      </c>
      <c r="C7" s="4">
        <v>5.0423019380306057E-2</v>
      </c>
      <c r="E7" s="1" t="s">
        <v>8</v>
      </c>
      <c r="F7" s="4">
        <v>2.4191974661566289E-2</v>
      </c>
      <c r="H7" s="12" t="str">
        <f t="shared" si="0"/>
        <v>D</v>
      </c>
      <c r="I7" s="3">
        <f t="shared" si="1"/>
        <v>0.67577596202728007</v>
      </c>
      <c r="J7" s="3">
        <f t="shared" si="2"/>
        <v>0.32422403797271993</v>
      </c>
      <c r="K7" s="13">
        <f t="shared" si="3"/>
        <v>-0.35155192405456015</v>
      </c>
      <c r="M7" s="12" t="s">
        <v>19</v>
      </c>
      <c r="N7" s="3">
        <v>0.62177241910716163</v>
      </c>
      <c r="O7" s="3">
        <v>0.37822758089283831</v>
      </c>
      <c r="P7" s="13">
        <v>0.24354483821432332</v>
      </c>
    </row>
    <row r="8" spans="2:16" x14ac:dyDescent="0.45">
      <c r="B8" s="1" t="s">
        <v>9</v>
      </c>
      <c r="C8" s="4">
        <v>6.2641560738456989E-2</v>
      </c>
      <c r="E8" s="1" t="s">
        <v>9</v>
      </c>
      <c r="F8" s="4">
        <v>9.473892256616688E-2</v>
      </c>
      <c r="H8" s="12" t="str">
        <f t="shared" si="0"/>
        <v>E</v>
      </c>
      <c r="I8" s="3">
        <f t="shared" si="1"/>
        <v>0.39802623186261726</v>
      </c>
      <c r="J8" s="3">
        <f t="shared" si="2"/>
        <v>0.60197376813738268</v>
      </c>
      <c r="K8" s="13">
        <f t="shared" si="3"/>
        <v>0.20394753627476542</v>
      </c>
      <c r="M8" s="12" t="s">
        <v>9</v>
      </c>
      <c r="N8" s="3">
        <v>0.60197376813738268</v>
      </c>
      <c r="O8" s="3">
        <v>0.39802623186261726</v>
      </c>
      <c r="P8" s="13">
        <v>0.20394753627476542</v>
      </c>
    </row>
    <row r="9" spans="2:16" x14ac:dyDescent="0.45">
      <c r="B9" s="1" t="s">
        <v>10</v>
      </c>
      <c r="C9" s="4">
        <v>1.1338337563429467E-2</v>
      </c>
      <c r="E9" s="1" t="s">
        <v>10</v>
      </c>
      <c r="F9" s="4">
        <v>9.9978984711377519E-3</v>
      </c>
      <c r="H9" s="12" t="str">
        <f t="shared" si="0"/>
        <v>F</v>
      </c>
      <c r="I9" s="3">
        <f t="shared" si="1"/>
        <v>0.53141226714309042</v>
      </c>
      <c r="J9" s="3">
        <f t="shared" si="2"/>
        <v>0.46858773285690958</v>
      </c>
      <c r="K9" s="13">
        <f t="shared" si="3"/>
        <v>-6.2824534286180844E-2</v>
      </c>
      <c r="M9" s="12" t="s">
        <v>13</v>
      </c>
      <c r="N9" s="3">
        <v>0.58437448747017151</v>
      </c>
      <c r="O9" s="3">
        <v>0.41562551252982838</v>
      </c>
      <c r="P9" s="13">
        <v>0.16874897494034313</v>
      </c>
    </row>
    <row r="10" spans="2:16" x14ac:dyDescent="0.45">
      <c r="B10" s="1" t="s">
        <v>11</v>
      </c>
      <c r="C10" s="4">
        <v>3.1321073379812624E-2</v>
      </c>
      <c r="E10" s="1" t="s">
        <v>11</v>
      </c>
      <c r="F10" s="4">
        <v>2.7368035245641204E-2</v>
      </c>
      <c r="H10" s="12" t="str">
        <f t="shared" si="0"/>
        <v>G</v>
      </c>
      <c r="I10" s="3">
        <f t="shared" si="1"/>
        <v>0.53367778303977309</v>
      </c>
      <c r="J10" s="3">
        <f t="shared" si="2"/>
        <v>0.46632221696022685</v>
      </c>
      <c r="K10" s="13">
        <f t="shared" si="3"/>
        <v>-6.7355566079546236E-2</v>
      </c>
      <c r="M10" s="12" t="s">
        <v>20</v>
      </c>
      <c r="N10" s="3">
        <v>0.58325188563739716</v>
      </c>
      <c r="O10" s="3">
        <v>0.41674811436260284</v>
      </c>
      <c r="P10" s="13">
        <v>0.16650377127479432</v>
      </c>
    </row>
    <row r="11" spans="2:16" x14ac:dyDescent="0.45">
      <c r="B11" s="1" t="s">
        <v>12</v>
      </c>
      <c r="C11" s="4">
        <v>2.8216333230388947E-2</v>
      </c>
      <c r="E11" s="1" t="s">
        <v>12</v>
      </c>
      <c r="F11" s="4">
        <v>3.4097305789962194E-2</v>
      </c>
      <c r="H11" s="12" t="str">
        <f t="shared" si="0"/>
        <v>H</v>
      </c>
      <c r="I11" s="3">
        <f t="shared" si="1"/>
        <v>0.45281151404387915</v>
      </c>
      <c r="J11" s="3">
        <f t="shared" si="2"/>
        <v>0.5471884859561208</v>
      </c>
      <c r="K11" s="13">
        <f t="shared" si="3"/>
        <v>9.4376971912241647E-2</v>
      </c>
      <c r="M11" s="12" t="s">
        <v>12</v>
      </c>
      <c r="N11" s="3">
        <v>0.5471884859561208</v>
      </c>
      <c r="O11" s="3">
        <v>0.45281151404387915</v>
      </c>
      <c r="P11" s="13">
        <v>9.4376971912241647E-2</v>
      </c>
    </row>
    <row r="12" spans="2:16" x14ac:dyDescent="0.45">
      <c r="B12" s="1" t="s">
        <v>13</v>
      </c>
      <c r="C12" s="4">
        <v>1.8729236537482208E-2</v>
      </c>
      <c r="E12" s="1" t="s">
        <v>13</v>
      </c>
      <c r="F12" s="4">
        <v>2.6333532644999238E-2</v>
      </c>
      <c r="H12" s="12" t="str">
        <f t="shared" si="0"/>
        <v>I</v>
      </c>
      <c r="I12" s="3">
        <f t="shared" si="1"/>
        <v>0.41562551252982838</v>
      </c>
      <c r="J12" s="3">
        <f t="shared" si="2"/>
        <v>0.58437448747017151</v>
      </c>
      <c r="K12" s="13">
        <f t="shared" si="3"/>
        <v>0.16874897494034313</v>
      </c>
      <c r="M12" s="12" t="s">
        <v>29</v>
      </c>
      <c r="N12" s="3">
        <v>0.54622490215284358</v>
      </c>
      <c r="O12" s="3">
        <v>0.45377509784715647</v>
      </c>
      <c r="P12" s="13">
        <v>9.2449804305687111E-2</v>
      </c>
    </row>
    <row r="13" spans="2:16" x14ac:dyDescent="0.45">
      <c r="B13" s="1" t="s">
        <v>14</v>
      </c>
      <c r="C13" s="4">
        <v>0.12069516175063276</v>
      </c>
      <c r="E13" s="1" t="s">
        <v>14</v>
      </c>
      <c r="F13" s="4">
        <v>4.5526870798505911E-2</v>
      </c>
      <c r="H13" s="12" t="str">
        <f t="shared" si="0"/>
        <v>J</v>
      </c>
      <c r="I13" s="3">
        <f t="shared" si="1"/>
        <v>0.72610808506960578</v>
      </c>
      <c r="J13" s="3">
        <f t="shared" si="2"/>
        <v>0.27389191493039422</v>
      </c>
      <c r="K13" s="13">
        <f t="shared" si="3"/>
        <v>-0.45221617013921156</v>
      </c>
      <c r="M13" s="12" t="s">
        <v>4</v>
      </c>
      <c r="N13" s="3">
        <v>0.54432195158667962</v>
      </c>
      <c r="O13" s="3">
        <v>0.45567804841332049</v>
      </c>
      <c r="P13" s="13">
        <v>8.8643903173359129E-2</v>
      </c>
    </row>
    <row r="14" spans="2:16" x14ac:dyDescent="0.45">
      <c r="B14" s="1" t="s">
        <v>15</v>
      </c>
      <c r="C14" s="4">
        <v>5.4988710302193537E-2</v>
      </c>
      <c r="E14" s="1" t="s">
        <v>15</v>
      </c>
      <c r="F14" s="4">
        <v>5.7046501329717371E-2</v>
      </c>
      <c r="H14" s="12" t="str">
        <f t="shared" si="0"/>
        <v>K</v>
      </c>
      <c r="I14" s="3">
        <f t="shared" si="1"/>
        <v>0.49081632016599985</v>
      </c>
      <c r="J14" s="3">
        <f t="shared" si="2"/>
        <v>0.50918367983400015</v>
      </c>
      <c r="K14" s="13">
        <f t="shared" si="3"/>
        <v>1.8367359668000294E-2</v>
      </c>
      <c r="M14" s="12" t="s">
        <v>17</v>
      </c>
      <c r="N14" s="3">
        <v>0.51710134784363571</v>
      </c>
      <c r="O14" s="3">
        <v>0.48289865215636435</v>
      </c>
      <c r="P14" s="13">
        <v>3.4202695687271356E-2</v>
      </c>
    </row>
    <row r="15" spans="2:16" x14ac:dyDescent="0.45">
      <c r="B15" s="1" t="s">
        <v>16</v>
      </c>
      <c r="C15" s="4">
        <v>7.4599908697901979E-2</v>
      </c>
      <c r="E15" s="1" t="s">
        <v>16</v>
      </c>
      <c r="F15" s="4">
        <v>7.0339296838449972E-2</v>
      </c>
      <c r="H15" s="12" t="str">
        <f t="shared" si="0"/>
        <v>L</v>
      </c>
      <c r="I15" s="3">
        <f t="shared" si="1"/>
        <v>0.5146979274644341</v>
      </c>
      <c r="J15" s="3">
        <f t="shared" si="2"/>
        <v>0.4853020725355659</v>
      </c>
      <c r="K15" s="13">
        <f t="shared" si="3"/>
        <v>-2.9395854928868204E-2</v>
      </c>
      <c r="M15" s="12" t="s">
        <v>15</v>
      </c>
      <c r="N15" s="3">
        <v>0.50918367983400015</v>
      </c>
      <c r="O15" s="3">
        <v>0.49081632016599985</v>
      </c>
      <c r="P15" s="13">
        <v>1.8367359668000294E-2</v>
      </c>
    </row>
    <row r="16" spans="2:16" x14ac:dyDescent="0.45">
      <c r="B16" s="1" t="s">
        <v>4</v>
      </c>
      <c r="C16" s="4">
        <v>7.4047290736235977E-2</v>
      </c>
      <c r="E16" s="1" t="s">
        <v>4</v>
      </c>
      <c r="F16" s="4">
        <v>8.8451848719943757E-2</v>
      </c>
      <c r="H16" s="12" t="str">
        <f t="shared" si="0"/>
        <v>M</v>
      </c>
      <c r="I16" s="3">
        <f t="shared" si="1"/>
        <v>0.45567804841332049</v>
      </c>
      <c r="J16" s="3">
        <f t="shared" si="2"/>
        <v>0.54432195158667962</v>
      </c>
      <c r="K16" s="13">
        <f t="shared" si="3"/>
        <v>8.8643903173359129E-2</v>
      </c>
      <c r="M16" s="12" t="s">
        <v>28</v>
      </c>
      <c r="N16" s="3">
        <v>0.50612623654085209</v>
      </c>
      <c r="O16" s="3">
        <v>0.4938737634591478</v>
      </c>
      <c r="P16" s="13">
        <v>1.2252473081704296E-2</v>
      </c>
    </row>
    <row r="17" spans="2:16" x14ac:dyDescent="0.45">
      <c r="B17" s="1" t="s">
        <v>17</v>
      </c>
      <c r="C17" s="4">
        <v>3.2536481282776898E-2</v>
      </c>
      <c r="E17" s="1" t="s">
        <v>17</v>
      </c>
      <c r="F17" s="4">
        <v>3.4840971806989585E-2</v>
      </c>
      <c r="H17" s="12" t="str">
        <f t="shared" si="0"/>
        <v>N</v>
      </c>
      <c r="I17" s="3">
        <f t="shared" si="1"/>
        <v>0.48289865215636435</v>
      </c>
      <c r="J17" s="3">
        <f t="shared" si="2"/>
        <v>0.51710134784363571</v>
      </c>
      <c r="K17" s="13">
        <f t="shared" si="3"/>
        <v>3.4202695687271356E-2</v>
      </c>
      <c r="M17" s="12" t="s">
        <v>21</v>
      </c>
      <c r="N17" s="3">
        <v>0.49405275022752754</v>
      </c>
      <c r="O17" s="3">
        <v>0.50594724977247241</v>
      </c>
      <c r="P17" s="13">
        <v>-1.189449954494487E-2</v>
      </c>
    </row>
    <row r="18" spans="2:16" x14ac:dyDescent="0.45">
      <c r="B18" s="1" t="s">
        <v>18</v>
      </c>
      <c r="C18" s="4">
        <v>2.1689229458346494E-2</v>
      </c>
      <c r="E18" s="1" t="s">
        <v>18</v>
      </c>
      <c r="F18" s="4">
        <v>1.7134340232519158E-2</v>
      </c>
      <c r="H18" s="12" t="str">
        <f t="shared" si="0"/>
        <v>O</v>
      </c>
      <c r="I18" s="3">
        <f t="shared" si="1"/>
        <v>0.55866139129008274</v>
      </c>
      <c r="J18" s="3">
        <f t="shared" si="2"/>
        <v>0.44133860870991726</v>
      </c>
      <c r="K18" s="13">
        <f t="shared" si="3"/>
        <v>-0.11732278258016549</v>
      </c>
      <c r="M18" s="12" t="s">
        <v>16</v>
      </c>
      <c r="N18" s="3">
        <v>0.4853020725355659</v>
      </c>
      <c r="O18" s="3">
        <v>0.5146979274644341</v>
      </c>
      <c r="P18" s="13">
        <v>-2.9395854928868204E-2</v>
      </c>
    </row>
    <row r="19" spans="2:16" x14ac:dyDescent="0.45">
      <c r="B19" s="1" t="s">
        <v>19</v>
      </c>
      <c r="C19" s="4">
        <v>1.4146551001715284E-2</v>
      </c>
      <c r="E19" s="1" t="s">
        <v>19</v>
      </c>
      <c r="F19" s="4">
        <v>2.3255668498832902E-2</v>
      </c>
      <c r="H19" s="12" t="str">
        <f t="shared" si="0"/>
        <v>P</v>
      </c>
      <c r="I19" s="3">
        <f t="shared" si="1"/>
        <v>0.37822758089283831</v>
      </c>
      <c r="J19" s="3">
        <f t="shared" si="2"/>
        <v>0.62177241910716163</v>
      </c>
      <c r="K19" s="13">
        <f t="shared" si="3"/>
        <v>0.24354483821432332</v>
      </c>
      <c r="M19" s="12" t="s">
        <v>10</v>
      </c>
      <c r="N19" s="3">
        <v>0.46858773285690958</v>
      </c>
      <c r="O19" s="3">
        <v>0.53141226714309042</v>
      </c>
      <c r="P19" s="13">
        <v>-6.2824534286180844E-2</v>
      </c>
    </row>
    <row r="20" spans="2:16" x14ac:dyDescent="0.45">
      <c r="B20" s="1" t="s">
        <v>20</v>
      </c>
      <c r="C20" s="4">
        <v>1.7902946690240345E-3</v>
      </c>
      <c r="E20" s="1" t="s">
        <v>20</v>
      </c>
      <c r="F20" s="4">
        <v>2.5055728042150663E-3</v>
      </c>
      <c r="H20" s="12" t="str">
        <f t="shared" si="0"/>
        <v>Q</v>
      </c>
      <c r="I20" s="3">
        <f t="shared" si="1"/>
        <v>0.41674811436260284</v>
      </c>
      <c r="J20" s="3">
        <f t="shared" si="2"/>
        <v>0.58325188563739716</v>
      </c>
      <c r="K20" s="13">
        <f t="shared" si="3"/>
        <v>0.16650377127479432</v>
      </c>
      <c r="M20" s="12" t="s">
        <v>11</v>
      </c>
      <c r="N20" s="3">
        <v>0.46632221696022685</v>
      </c>
      <c r="O20" s="3">
        <v>0.53367778303977309</v>
      </c>
      <c r="P20" s="13">
        <v>-6.7355566079546236E-2</v>
      </c>
    </row>
    <row r="21" spans="2:16" x14ac:dyDescent="0.45">
      <c r="B21" s="1" t="s">
        <v>21</v>
      </c>
      <c r="C21" s="4">
        <v>4.6282193805404638E-2</v>
      </c>
      <c r="E21" s="1" t="s">
        <v>21</v>
      </c>
      <c r="F21" s="4">
        <v>4.5194128728650092E-2</v>
      </c>
      <c r="H21" s="12" t="str">
        <f t="shared" si="0"/>
        <v>R</v>
      </c>
      <c r="I21" s="3">
        <f t="shared" si="1"/>
        <v>0.50594724977247241</v>
      </c>
      <c r="J21" s="3">
        <f t="shared" si="2"/>
        <v>0.49405275022752754</v>
      </c>
      <c r="K21" s="13">
        <f t="shared" si="3"/>
        <v>-1.189449954494487E-2</v>
      </c>
      <c r="M21" s="12" t="s">
        <v>7</v>
      </c>
      <c r="N21" s="3">
        <v>0.44562181511077154</v>
      </c>
      <c r="O21" s="3">
        <v>0.55437818488922852</v>
      </c>
      <c r="P21" s="13">
        <v>-0.10875636977845698</v>
      </c>
    </row>
    <row r="22" spans="2:16" x14ac:dyDescent="0.45">
      <c r="B22" s="1" t="s">
        <v>22</v>
      </c>
      <c r="C22" s="4">
        <v>3.9797283557476665E-2</v>
      </c>
      <c r="E22" s="1" t="s">
        <v>22</v>
      </c>
      <c r="F22" s="4">
        <v>7.0616373411656982E-2</v>
      </c>
      <c r="H22" s="12" t="str">
        <f t="shared" si="0"/>
        <v>S</v>
      </c>
      <c r="I22" s="3">
        <f t="shared" si="1"/>
        <v>0.36043805313505806</v>
      </c>
      <c r="J22" s="3">
        <f t="shared" si="2"/>
        <v>0.63956194686494194</v>
      </c>
      <c r="K22" s="13">
        <f t="shared" si="3"/>
        <v>0.27912389372988389</v>
      </c>
      <c r="M22" s="12" t="s">
        <v>18</v>
      </c>
      <c r="N22" s="3">
        <v>0.44133860870991726</v>
      </c>
      <c r="O22" s="3">
        <v>0.55866139129008274</v>
      </c>
      <c r="P22" s="13">
        <v>-0.11732278258016549</v>
      </c>
    </row>
    <row r="23" spans="2:16" x14ac:dyDescent="0.45">
      <c r="B23" s="1" t="s">
        <v>23</v>
      </c>
      <c r="C23" s="4">
        <v>3.3369217362869581E-2</v>
      </c>
      <c r="E23" s="1" t="s">
        <v>23</v>
      </c>
      <c r="F23" s="4">
        <v>1.5197931495162732E-2</v>
      </c>
      <c r="H23" s="12" t="str">
        <f t="shared" si="0"/>
        <v>T</v>
      </c>
      <c r="I23" s="3">
        <f t="shared" si="1"/>
        <v>0.68707383792307564</v>
      </c>
      <c r="J23" s="3">
        <f t="shared" si="2"/>
        <v>0.31292616207692436</v>
      </c>
      <c r="K23" s="13">
        <f t="shared" si="3"/>
        <v>-0.37414767584615127</v>
      </c>
      <c r="M23" s="12" t="s">
        <v>6</v>
      </c>
      <c r="N23" s="3">
        <v>0.38388782772903451</v>
      </c>
      <c r="O23" s="3">
        <v>0.61611217227096549</v>
      </c>
      <c r="P23" s="13">
        <v>-0.23222434454193097</v>
      </c>
    </row>
    <row r="24" spans="2:16" x14ac:dyDescent="0.45">
      <c r="B24" s="1" t="s">
        <v>24</v>
      </c>
      <c r="C24" s="4">
        <v>1.425203481200148E-3</v>
      </c>
      <c r="E24" s="1" t="s">
        <v>24</v>
      </c>
      <c r="F24" s="4">
        <v>3.9153484159726201E-4</v>
      </c>
      <c r="H24" s="12" t="str">
        <f t="shared" si="0"/>
        <v>U</v>
      </c>
      <c r="I24" s="3">
        <f t="shared" si="1"/>
        <v>0.78448473471161362</v>
      </c>
      <c r="J24" s="3">
        <f t="shared" si="2"/>
        <v>0.21551526528838641</v>
      </c>
      <c r="K24" s="13">
        <f t="shared" si="3"/>
        <v>-0.56896946942322724</v>
      </c>
      <c r="M24" s="12" t="s">
        <v>27</v>
      </c>
      <c r="N24" s="3">
        <v>0.3729065764644785</v>
      </c>
      <c r="O24" s="3">
        <v>0.62709342353552144</v>
      </c>
      <c r="P24" s="13">
        <v>-0.25418684707104294</v>
      </c>
    </row>
    <row r="25" spans="2:16" x14ac:dyDescent="0.45">
      <c r="B25" s="1" t="s">
        <v>25</v>
      </c>
      <c r="C25" s="4">
        <v>6.2710125215143025E-3</v>
      </c>
      <c r="E25" s="1" t="s">
        <v>25</v>
      </c>
      <c r="F25" s="4">
        <v>2.0267244420315779E-2</v>
      </c>
      <c r="H25" s="12" t="str">
        <f t="shared" si="0"/>
        <v>V</v>
      </c>
      <c r="I25" s="3">
        <f t="shared" si="1"/>
        <v>0.23630084429659051</v>
      </c>
      <c r="J25" s="3">
        <f t="shared" si="2"/>
        <v>0.7636991557034094</v>
      </c>
      <c r="K25" s="13">
        <f t="shared" si="3"/>
        <v>0.52739831140681892</v>
      </c>
      <c r="M25" s="12" t="s">
        <v>8</v>
      </c>
      <c r="N25" s="3">
        <v>0.32422403797271993</v>
      </c>
      <c r="O25" s="3">
        <v>0.67577596202728007</v>
      </c>
      <c r="P25" s="13">
        <v>-0.35155192405456015</v>
      </c>
    </row>
    <row r="26" spans="2:16" x14ac:dyDescent="0.45">
      <c r="B26" s="1" t="s">
        <v>26</v>
      </c>
      <c r="C26" s="4">
        <v>2.6594226636654568E-2</v>
      </c>
      <c r="E26" s="1" t="s">
        <v>26</v>
      </c>
      <c r="F26" s="4">
        <v>7.6855912676472137E-3</v>
      </c>
      <c r="H26" s="12" t="str">
        <f t="shared" si="0"/>
        <v>W</v>
      </c>
      <c r="I26" s="3">
        <f t="shared" si="1"/>
        <v>0.77579836365808852</v>
      </c>
      <c r="J26" s="3">
        <f t="shared" si="2"/>
        <v>0.22420163634191145</v>
      </c>
      <c r="K26" s="13">
        <f t="shared" si="3"/>
        <v>-0.55159672731617704</v>
      </c>
      <c r="M26" s="12" t="s">
        <v>23</v>
      </c>
      <c r="N26" s="3">
        <v>0.31292616207692436</v>
      </c>
      <c r="O26" s="3">
        <v>0.68707383792307564</v>
      </c>
      <c r="P26" s="13">
        <v>-0.37414767584615127</v>
      </c>
    </row>
    <row r="27" spans="2:16" x14ac:dyDescent="0.45">
      <c r="B27" s="1" t="s">
        <v>27</v>
      </c>
      <c r="C27" s="4">
        <v>4.2439653005145852E-3</v>
      </c>
      <c r="E27" s="1" t="s">
        <v>27</v>
      </c>
      <c r="F27" s="4">
        <v>2.5237109997523197E-3</v>
      </c>
      <c r="H27" s="12" t="str">
        <f t="shared" si="0"/>
        <v>X</v>
      </c>
      <c r="I27" s="3">
        <f t="shared" si="1"/>
        <v>0.62709342353552144</v>
      </c>
      <c r="J27" s="3">
        <f t="shared" si="2"/>
        <v>0.3729065764644785</v>
      </c>
      <c r="K27" s="13">
        <f t="shared" si="3"/>
        <v>-0.25418684707104294</v>
      </c>
      <c r="M27" s="12" t="s">
        <v>14</v>
      </c>
      <c r="N27" s="3">
        <v>0.27389191493039422</v>
      </c>
      <c r="O27" s="3">
        <v>0.72610808506960578</v>
      </c>
      <c r="P27" s="13">
        <v>-0.45221617013921156</v>
      </c>
    </row>
    <row r="28" spans="2:16" x14ac:dyDescent="0.45">
      <c r="B28" s="1" t="s">
        <v>28</v>
      </c>
      <c r="C28" s="4">
        <v>4.6524220547894627E-3</v>
      </c>
      <c r="E28" s="1" t="s">
        <v>28</v>
      </c>
      <c r="F28" s="4">
        <v>4.7678436062235279E-3</v>
      </c>
      <c r="H28" s="12" t="str">
        <f t="shared" si="0"/>
        <v>Y</v>
      </c>
      <c r="I28" s="3">
        <f t="shared" si="1"/>
        <v>0.4938737634591478</v>
      </c>
      <c r="J28" s="3">
        <f t="shared" si="2"/>
        <v>0.50612623654085209</v>
      </c>
      <c r="K28" s="13">
        <f t="shared" si="3"/>
        <v>1.2252473081704296E-2</v>
      </c>
      <c r="M28" s="12" t="s">
        <v>26</v>
      </c>
      <c r="N28" s="3">
        <v>0.22420163634191145</v>
      </c>
      <c r="O28" s="3">
        <v>0.77579836365808852</v>
      </c>
      <c r="P28" s="13">
        <v>-0.55159672731617704</v>
      </c>
    </row>
    <row r="29" spans="2:16" x14ac:dyDescent="0.45">
      <c r="B29" s="1" t="s">
        <v>29</v>
      </c>
      <c r="C29" s="4">
        <v>1.4874975313858287E-2</v>
      </c>
      <c r="E29" s="1" t="s">
        <v>29</v>
      </c>
      <c r="F29" s="4">
        <v>1.7905526270361689E-2</v>
      </c>
      <c r="H29" s="12" t="str">
        <f t="shared" si="0"/>
        <v>Z</v>
      </c>
      <c r="I29" s="3">
        <f t="shared" si="1"/>
        <v>0.45377509784715647</v>
      </c>
      <c r="J29" s="3">
        <f t="shared" si="2"/>
        <v>0.54622490215284358</v>
      </c>
      <c r="K29" s="13">
        <f t="shared" si="3"/>
        <v>9.2449804305687111E-2</v>
      </c>
      <c r="M29" s="12" t="s">
        <v>24</v>
      </c>
      <c r="N29" s="3">
        <v>0.21551526528838641</v>
      </c>
      <c r="O29" s="3">
        <v>0.78448473471161362</v>
      </c>
      <c r="P29" s="13">
        <v>-0.56896946942322724</v>
      </c>
    </row>
    <row r="34" spans="2:9" x14ac:dyDescent="0.45">
      <c r="B34" s="2" t="s">
        <v>163</v>
      </c>
      <c r="E34" s="2" t="s">
        <v>164</v>
      </c>
    </row>
    <row r="35" spans="2:9" x14ac:dyDescent="0.45">
      <c r="B35" s="1" t="s">
        <v>165</v>
      </c>
      <c r="C35" s="1" t="s">
        <v>170</v>
      </c>
      <c r="E35" s="1" t="s">
        <v>165</v>
      </c>
      <c r="F35" s="1" t="s">
        <v>170</v>
      </c>
      <c r="H35" s="1" t="s">
        <v>165</v>
      </c>
      <c r="I35" s="1" t="s">
        <v>170</v>
      </c>
    </row>
    <row r="36" spans="2:9" x14ac:dyDescent="0.45">
      <c r="B36" s="1" t="s">
        <v>14</v>
      </c>
      <c r="C36" s="4">
        <v>0.12069516175063276</v>
      </c>
      <c r="E36" s="1" t="s">
        <v>5</v>
      </c>
      <c r="F36" s="4">
        <v>0.17063038360407196</v>
      </c>
      <c r="H36" s="1" t="s">
        <v>5</v>
      </c>
      <c r="I36" s="4">
        <v>0.13590281427264853</v>
      </c>
    </row>
    <row r="37" spans="2:9" x14ac:dyDescent="0.45">
      <c r="B37" s="1" t="s">
        <v>5</v>
      </c>
      <c r="C37" s="4">
        <v>0.10336475774177915</v>
      </c>
      <c r="E37" s="1" t="s">
        <v>9</v>
      </c>
      <c r="F37" s="4">
        <v>9.473892256616688E-2</v>
      </c>
      <c r="H37" s="1" t="s">
        <v>14</v>
      </c>
      <c r="I37" s="4">
        <v>8.4334389528929507E-2</v>
      </c>
    </row>
    <row r="38" spans="2:9" x14ac:dyDescent="0.45">
      <c r="B38" s="1" t="s">
        <v>16</v>
      </c>
      <c r="C38" s="4">
        <v>7.4599908697901979E-2</v>
      </c>
      <c r="E38" s="1" t="s">
        <v>4</v>
      </c>
      <c r="F38" s="4">
        <v>8.8451848719943757E-2</v>
      </c>
      <c r="H38" s="1" t="s">
        <v>4</v>
      </c>
      <c r="I38" s="4">
        <v>8.1015133761075914E-2</v>
      </c>
    </row>
    <row r="39" spans="2:9" x14ac:dyDescent="0.45">
      <c r="B39" s="1" t="s">
        <v>4</v>
      </c>
      <c r="C39" s="4">
        <v>7.4047290736235977E-2</v>
      </c>
      <c r="E39" s="1" t="s">
        <v>22</v>
      </c>
      <c r="F39" s="4">
        <v>7.0616373411656982E-2</v>
      </c>
      <c r="H39" s="1" t="s">
        <v>9</v>
      </c>
      <c r="I39" s="4">
        <v>7.8167853109241972E-2</v>
      </c>
    </row>
    <row r="40" spans="2:9" x14ac:dyDescent="0.45">
      <c r="B40" s="1" t="s">
        <v>7</v>
      </c>
      <c r="C40" s="4">
        <v>7.1920619916632622E-2</v>
      </c>
      <c r="E40" s="1" t="s">
        <v>16</v>
      </c>
      <c r="F40" s="4">
        <v>7.0339296838449972E-2</v>
      </c>
      <c r="H40" s="1" t="s">
        <v>16</v>
      </c>
      <c r="I40" s="4">
        <v>7.2538944754405019E-2</v>
      </c>
    </row>
    <row r="41" spans="2:9" x14ac:dyDescent="0.45">
      <c r="B41" s="1" t="s">
        <v>9</v>
      </c>
      <c r="C41" s="4">
        <v>6.2641560738456989E-2</v>
      </c>
      <c r="E41" s="1" t="s">
        <v>7</v>
      </c>
      <c r="F41" s="4">
        <v>5.7811432817374643E-2</v>
      </c>
      <c r="H41" s="1" t="s">
        <v>7</v>
      </c>
      <c r="I41" s="4">
        <v>6.5095655136254066E-2</v>
      </c>
    </row>
    <row r="42" spans="2:9" x14ac:dyDescent="0.45">
      <c r="B42" s="1" t="s">
        <v>15</v>
      </c>
      <c r="C42" s="4">
        <v>5.4988710302193537E-2</v>
      </c>
      <c r="E42" s="1" t="s">
        <v>15</v>
      </c>
      <c r="F42" s="4">
        <v>5.7046501329717371E-2</v>
      </c>
      <c r="H42" s="1" t="s">
        <v>15</v>
      </c>
      <c r="I42" s="4">
        <v>5.5984115011864427E-2</v>
      </c>
    </row>
    <row r="43" spans="2:9" x14ac:dyDescent="0.45">
      <c r="B43" s="1" t="s">
        <v>8</v>
      </c>
      <c r="C43" s="4">
        <v>5.0423019380306057E-2</v>
      </c>
      <c r="E43" s="1" t="s">
        <v>14</v>
      </c>
      <c r="F43" s="4">
        <v>4.5526870798505911E-2</v>
      </c>
      <c r="H43" s="1" t="s">
        <v>22</v>
      </c>
      <c r="I43" s="4">
        <v>5.4705243976341945E-2</v>
      </c>
    </row>
    <row r="44" spans="2:9" x14ac:dyDescent="0.45">
      <c r="B44" s="1" t="s">
        <v>6</v>
      </c>
      <c r="C44" s="4">
        <v>5.0040933578602724E-2</v>
      </c>
      <c r="E44" s="1" t="s">
        <v>21</v>
      </c>
      <c r="F44" s="4">
        <v>4.5194128728650092E-2</v>
      </c>
      <c r="H44" s="1" t="s">
        <v>21</v>
      </c>
      <c r="I44" s="4">
        <v>4.5755869661046229E-2</v>
      </c>
    </row>
    <row r="45" spans="2:9" x14ac:dyDescent="0.45">
      <c r="B45" s="1" t="s">
        <v>21</v>
      </c>
      <c r="C45" s="4">
        <v>4.6282193805404638E-2</v>
      </c>
      <c r="E45" s="1" t="s">
        <v>17</v>
      </c>
      <c r="F45" s="4">
        <v>3.4840971806989585E-2</v>
      </c>
      <c r="H45" s="1" t="s">
        <v>6</v>
      </c>
      <c r="I45" s="4">
        <v>4.0917217077390912E-2</v>
      </c>
    </row>
    <row r="46" spans="2:9" x14ac:dyDescent="0.45">
      <c r="B46" s="1" t="s">
        <v>22</v>
      </c>
      <c r="C46" s="4">
        <v>3.9797283557476665E-2</v>
      </c>
      <c r="E46" s="1" t="s">
        <v>12</v>
      </c>
      <c r="F46" s="4">
        <v>3.4097305789962194E-2</v>
      </c>
      <c r="H46" s="1" t="s">
        <v>8</v>
      </c>
      <c r="I46" s="4">
        <v>3.77344105257712E-2</v>
      </c>
    </row>
    <row r="47" spans="2:9" x14ac:dyDescent="0.45">
      <c r="B47" s="1" t="s">
        <v>23</v>
      </c>
      <c r="C47" s="4">
        <v>3.3369217362869581E-2</v>
      </c>
      <c r="E47" s="1" t="s">
        <v>6</v>
      </c>
      <c r="F47" s="4">
        <v>3.1179558128538513E-2</v>
      </c>
      <c r="H47" s="1" t="s">
        <v>17</v>
      </c>
      <c r="I47" s="4">
        <v>3.3651220675898624E-2</v>
      </c>
    </row>
    <row r="48" spans="2:9" x14ac:dyDescent="0.45">
      <c r="B48" s="1" t="s">
        <v>17</v>
      </c>
      <c r="C48" s="4">
        <v>3.2536481282776898E-2</v>
      </c>
      <c r="E48" s="1" t="s">
        <v>11</v>
      </c>
      <c r="F48" s="4">
        <v>2.7368035245641204E-2</v>
      </c>
      <c r="H48" s="1" t="s">
        <v>12</v>
      </c>
      <c r="I48" s="4">
        <v>3.1061105952665133E-2</v>
      </c>
    </row>
    <row r="49" spans="2:9" x14ac:dyDescent="0.45">
      <c r="B49" s="1" t="s">
        <v>11</v>
      </c>
      <c r="C49" s="4">
        <v>3.1321073379812624E-2</v>
      </c>
      <c r="E49" s="1" t="s">
        <v>13</v>
      </c>
      <c r="F49" s="4">
        <v>2.6333532644999238E-2</v>
      </c>
      <c r="H49" s="1" t="s">
        <v>11</v>
      </c>
      <c r="I49" s="4">
        <v>2.9408890498445053E-2</v>
      </c>
    </row>
    <row r="50" spans="2:9" x14ac:dyDescent="0.45">
      <c r="B50" s="1" t="s">
        <v>12</v>
      </c>
      <c r="C50" s="4">
        <v>2.8216333230388947E-2</v>
      </c>
      <c r="E50" s="1" t="s">
        <v>8</v>
      </c>
      <c r="F50" s="4">
        <v>2.4191974661566289E-2</v>
      </c>
      <c r="H50" s="1" t="s">
        <v>23</v>
      </c>
      <c r="I50" s="4">
        <v>2.4579314359328572E-2</v>
      </c>
    </row>
    <row r="51" spans="2:9" x14ac:dyDescent="0.45">
      <c r="B51" s="1" t="s">
        <v>26</v>
      </c>
      <c r="C51" s="4">
        <v>2.6594226636654568E-2</v>
      </c>
      <c r="E51" s="1" t="s">
        <v>19</v>
      </c>
      <c r="F51" s="4">
        <v>2.3255668498832902E-2</v>
      </c>
      <c r="H51" s="1" t="s">
        <v>13</v>
      </c>
      <c r="I51" s="4">
        <v>2.2407623729335583E-2</v>
      </c>
    </row>
    <row r="52" spans="2:9" x14ac:dyDescent="0.45">
      <c r="B52" s="1" t="s">
        <v>18</v>
      </c>
      <c r="C52" s="4">
        <v>2.1689229458346494E-2</v>
      </c>
      <c r="E52" s="1" t="s">
        <v>25</v>
      </c>
      <c r="F52" s="4">
        <v>2.0267244420315779E-2</v>
      </c>
      <c r="H52" s="1" t="s">
        <v>18</v>
      </c>
      <c r="I52" s="4">
        <v>1.9485916232283157E-2</v>
      </c>
    </row>
    <row r="53" spans="2:9" x14ac:dyDescent="0.45">
      <c r="B53" s="1" t="s">
        <v>13</v>
      </c>
      <c r="C53" s="4">
        <v>1.8729236537482208E-2</v>
      </c>
      <c r="E53" s="1" t="s">
        <v>29</v>
      </c>
      <c r="F53" s="4">
        <v>1.7905526270361689E-2</v>
      </c>
      <c r="H53" s="1" t="s">
        <v>19</v>
      </c>
      <c r="I53" s="4">
        <v>1.8552857733690462E-2</v>
      </c>
    </row>
    <row r="54" spans="2:9" x14ac:dyDescent="0.45">
      <c r="B54" s="1" t="s">
        <v>29</v>
      </c>
      <c r="C54" s="4">
        <v>1.4874975313858287E-2</v>
      </c>
      <c r="E54" s="1" t="s">
        <v>18</v>
      </c>
      <c r="F54" s="4">
        <v>1.7134340232519158E-2</v>
      </c>
      <c r="H54" s="1" t="s">
        <v>26</v>
      </c>
      <c r="I54" s="4">
        <v>1.7447649337011109E-2</v>
      </c>
    </row>
    <row r="55" spans="2:9" x14ac:dyDescent="0.45">
      <c r="B55" s="1" t="s">
        <v>19</v>
      </c>
      <c r="C55" s="4">
        <v>1.4146551001715284E-2</v>
      </c>
      <c r="E55" s="1" t="s">
        <v>23</v>
      </c>
      <c r="F55" s="4">
        <v>1.5197931495162732E-2</v>
      </c>
      <c r="H55" s="1" t="s">
        <v>29</v>
      </c>
      <c r="I55" s="4">
        <v>1.6340928199575284E-2</v>
      </c>
    </row>
    <row r="56" spans="2:9" x14ac:dyDescent="0.45">
      <c r="B56" s="1" t="s">
        <v>10</v>
      </c>
      <c r="C56" s="4">
        <v>1.1338337563429467E-2</v>
      </c>
      <c r="E56" s="1" t="s">
        <v>10</v>
      </c>
      <c r="F56" s="4">
        <v>9.9978984711377519E-3</v>
      </c>
      <c r="H56" s="1" t="s">
        <v>25</v>
      </c>
      <c r="I56" s="4">
        <v>1.3041338061555842E-2</v>
      </c>
    </row>
    <row r="57" spans="2:9" x14ac:dyDescent="0.45">
      <c r="B57" s="1" t="s">
        <v>25</v>
      </c>
      <c r="C57" s="4">
        <v>6.2710125215143025E-3</v>
      </c>
      <c r="E57" s="1" t="s">
        <v>26</v>
      </c>
      <c r="F57" s="4">
        <v>7.6855912676472137E-3</v>
      </c>
      <c r="H57" s="1" t="s">
        <v>10</v>
      </c>
      <c r="I57" s="4">
        <v>1.068993382969383E-2</v>
      </c>
    </row>
    <row r="58" spans="2:9" x14ac:dyDescent="0.45">
      <c r="B58" s="1" t="s">
        <v>28</v>
      </c>
      <c r="C58" s="4">
        <v>4.6524220547894627E-3</v>
      </c>
      <c r="E58" s="1" t="s">
        <v>28</v>
      </c>
      <c r="F58" s="4">
        <v>4.7678436062235279E-3</v>
      </c>
      <c r="H58" s="1" t="s">
        <v>28</v>
      </c>
      <c r="I58" s="4">
        <v>4.7082543304473269E-3</v>
      </c>
    </row>
    <row r="59" spans="2:9" x14ac:dyDescent="0.45">
      <c r="B59" s="1" t="s">
        <v>27</v>
      </c>
      <c r="C59" s="4">
        <v>4.2439653005145852E-3</v>
      </c>
      <c r="E59" s="1" t="s">
        <v>27</v>
      </c>
      <c r="F59" s="4">
        <v>2.5237109997523197E-3</v>
      </c>
      <c r="H59" s="1" t="s">
        <v>27</v>
      </c>
      <c r="I59" s="4">
        <v>3.411835502149756E-3</v>
      </c>
    </row>
    <row r="60" spans="2:9" x14ac:dyDescent="0.45">
      <c r="B60" s="1" t="s">
        <v>20</v>
      </c>
      <c r="C60" s="4">
        <v>1.7902946690240345E-3</v>
      </c>
      <c r="E60" s="1" t="s">
        <v>20</v>
      </c>
      <c r="F60" s="4">
        <v>2.5055728042150663E-3</v>
      </c>
      <c r="H60" s="1" t="s">
        <v>20</v>
      </c>
      <c r="I60" s="4">
        <v>2.1362924962915158E-3</v>
      </c>
    </row>
    <row r="61" spans="2:9" x14ac:dyDescent="0.45">
      <c r="B61" s="1" t="s">
        <v>24</v>
      </c>
      <c r="C61" s="4">
        <v>1.425203481200148E-3</v>
      </c>
      <c r="E61" s="1" t="s">
        <v>24</v>
      </c>
      <c r="F61" s="4">
        <v>3.9153484159726201E-4</v>
      </c>
      <c r="H61" s="1" t="s">
        <v>24</v>
      </c>
      <c r="I61" s="4">
        <v>9.2519224665903643E-4</v>
      </c>
    </row>
  </sheetData>
  <autoFilter ref="H35:I35" xr:uid="{5911E7A6-B21D-4D2D-A0CA-3F84354A2FF8}">
    <sortState xmlns:xlrd2="http://schemas.microsoft.com/office/spreadsheetml/2017/richdata2" ref="H36:I61">
      <sortCondition descending="1" ref="I35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5BF9-6A70-4F43-966C-57F4ECF61A92}">
  <dimension ref="B2:P61"/>
  <sheetViews>
    <sheetView topLeftCell="A31" workbookViewId="0">
      <selection activeCell="C36" sqref="C36:C38"/>
    </sheetView>
  </sheetViews>
  <sheetFormatPr defaultRowHeight="14.25" x14ac:dyDescent="0.45"/>
  <cols>
    <col min="8" max="8" width="9.46484375" bestFit="1" customWidth="1"/>
    <col min="9" max="9" width="6.46484375" bestFit="1" customWidth="1"/>
    <col min="10" max="10" width="5.9296875" bestFit="1" customWidth="1"/>
  </cols>
  <sheetData>
    <row r="2" spans="2:16" x14ac:dyDescent="0.45">
      <c r="B2" s="2" t="s">
        <v>163</v>
      </c>
      <c r="E2" s="2" t="s">
        <v>164</v>
      </c>
    </row>
    <row r="3" spans="2:16" x14ac:dyDescent="0.45">
      <c r="B3" s="1" t="s">
        <v>30</v>
      </c>
      <c r="C3" s="1" t="s">
        <v>3</v>
      </c>
      <c r="E3" s="1" t="s">
        <v>30</v>
      </c>
      <c r="F3" s="1" t="s">
        <v>3</v>
      </c>
      <c r="H3" s="5" t="s">
        <v>169</v>
      </c>
      <c r="I3" s="5" t="s">
        <v>166</v>
      </c>
      <c r="J3" s="5" t="s">
        <v>167</v>
      </c>
      <c r="K3" s="5" t="s">
        <v>168</v>
      </c>
      <c r="M3" s="5" t="s">
        <v>169</v>
      </c>
      <c r="N3" s="5" t="s">
        <v>171</v>
      </c>
      <c r="O3" s="5" t="s">
        <v>172</v>
      </c>
      <c r="P3" s="5" t="s">
        <v>168</v>
      </c>
    </row>
    <row r="4" spans="2:16" x14ac:dyDescent="0.45">
      <c r="B4" s="1" t="s">
        <v>31</v>
      </c>
      <c r="C4" s="4">
        <v>1.9610026353371935E-2</v>
      </c>
      <c r="E4" s="1" t="s">
        <v>31</v>
      </c>
      <c r="F4" s="4">
        <v>0.3820767108071122</v>
      </c>
      <c r="H4" s="12" t="str">
        <f>E4</f>
        <v>a</v>
      </c>
      <c r="I4" s="3">
        <f>C4/(C4+F4)</f>
        <v>4.8819202973926487E-2</v>
      </c>
      <c r="J4" s="3">
        <f>F4/(C4+F4)</f>
        <v>0.9511807970260735</v>
      </c>
      <c r="K4" s="13">
        <f>J4-I4</f>
        <v>0.902361594052147</v>
      </c>
      <c r="M4" s="12" t="s">
        <v>5</v>
      </c>
      <c r="N4" s="3">
        <v>0.9511807970260735</v>
      </c>
      <c r="O4" s="3">
        <v>4.8819202973926487E-2</v>
      </c>
      <c r="P4" s="13">
        <v>0.902361594052147</v>
      </c>
    </row>
    <row r="5" spans="2:16" x14ac:dyDescent="0.45">
      <c r="B5" s="1" t="s">
        <v>32</v>
      </c>
      <c r="C5" s="4">
        <v>1.0517321906701915E-2</v>
      </c>
      <c r="E5" s="1" t="s">
        <v>32</v>
      </c>
      <c r="F5" s="4">
        <v>3.3149115981876814E-4</v>
      </c>
      <c r="H5" s="12" t="str">
        <f t="shared" ref="H5:H29" si="0">E5</f>
        <v>b</v>
      </c>
      <c r="I5" s="3">
        <f t="shared" ref="I5:I29" si="1">C5/(C5+F5)</f>
        <v>0.96944447675647161</v>
      </c>
      <c r="J5" s="3">
        <f t="shared" ref="J5:J29" si="2">F5/(C5+F5)</f>
        <v>3.0555523243528476E-2</v>
      </c>
      <c r="K5" s="13">
        <f t="shared" ref="K5:K29" si="3">J5-I5</f>
        <v>-0.9388889535129431</v>
      </c>
      <c r="M5" s="12" t="s">
        <v>9</v>
      </c>
      <c r="N5" s="3">
        <v>0.72353581605395101</v>
      </c>
      <c r="O5" s="3">
        <v>0.27646418394604905</v>
      </c>
      <c r="P5" s="13">
        <v>0.44707163210790196</v>
      </c>
    </row>
    <row r="6" spans="2:16" x14ac:dyDescent="0.45">
      <c r="B6" s="1" t="s">
        <v>33</v>
      </c>
      <c r="C6" s="4">
        <v>9.6933761441330788E-3</v>
      </c>
      <c r="E6" s="1" t="s">
        <v>33</v>
      </c>
      <c r="F6" s="4">
        <v>5.529022363769642E-4</v>
      </c>
      <c r="H6" s="12" t="str">
        <f t="shared" si="0"/>
        <v>c</v>
      </c>
      <c r="I6" s="3">
        <f t="shared" si="1"/>
        <v>0.9460387258823002</v>
      </c>
      <c r="J6" s="3">
        <f t="shared" si="2"/>
        <v>5.396127411769986E-2</v>
      </c>
      <c r="K6" s="13">
        <f t="shared" si="3"/>
        <v>-0.89207745176460029</v>
      </c>
      <c r="M6" s="12" t="s">
        <v>28</v>
      </c>
      <c r="N6" s="3">
        <v>0.697779468261294</v>
      </c>
      <c r="O6" s="3">
        <v>0.302220531738706</v>
      </c>
      <c r="P6" s="13">
        <v>0.395558936522588</v>
      </c>
    </row>
    <row r="7" spans="2:16" x14ac:dyDescent="0.45">
      <c r="B7" s="1" t="s">
        <v>34</v>
      </c>
      <c r="C7" s="4">
        <v>2.2615142904191986E-2</v>
      </c>
      <c r="E7" s="1" t="s">
        <v>34</v>
      </c>
      <c r="F7" s="4">
        <v>2.3598417848985135E-3</v>
      </c>
      <c r="H7" s="12" t="str">
        <f t="shared" si="0"/>
        <v>d</v>
      </c>
      <c r="I7" s="3">
        <f t="shared" si="1"/>
        <v>0.90551178251855624</v>
      </c>
      <c r="J7" s="3">
        <f t="shared" si="2"/>
        <v>9.4488217481443856E-2</v>
      </c>
      <c r="K7" s="13">
        <f t="shared" si="3"/>
        <v>-0.81102356503711237</v>
      </c>
      <c r="M7" s="12" t="s">
        <v>13</v>
      </c>
      <c r="N7" s="3">
        <v>0.59511407040789921</v>
      </c>
      <c r="O7" s="3">
        <v>0.40488592959210074</v>
      </c>
      <c r="P7" s="13">
        <v>0.19022814081579847</v>
      </c>
    </row>
    <row r="8" spans="2:16" x14ac:dyDescent="0.45">
      <c r="B8" s="1" t="s">
        <v>35</v>
      </c>
      <c r="C8" s="4">
        <v>6.771826211906426E-2</v>
      </c>
      <c r="E8" s="1" t="s">
        <v>35</v>
      </c>
      <c r="F8" s="4">
        <v>0.1772258067744284</v>
      </c>
      <c r="H8" s="12" t="str">
        <f t="shared" si="0"/>
        <v>e</v>
      </c>
      <c r="I8" s="3">
        <f t="shared" si="1"/>
        <v>0.27646418394604905</v>
      </c>
      <c r="J8" s="3">
        <f t="shared" si="2"/>
        <v>0.72353581605395101</v>
      </c>
      <c r="K8" s="13">
        <f t="shared" si="3"/>
        <v>0.44707163210790196</v>
      </c>
      <c r="M8" s="12" t="s">
        <v>12</v>
      </c>
      <c r="N8" s="3">
        <v>0.55937817717651472</v>
      </c>
      <c r="O8" s="3">
        <v>0.44062182282348528</v>
      </c>
      <c r="P8" s="13">
        <v>0.11875635435302945</v>
      </c>
    </row>
    <row r="9" spans="2:16" x14ac:dyDescent="0.45">
      <c r="B9" s="1" t="s">
        <v>36</v>
      </c>
      <c r="C9" s="4">
        <v>1.5687786674230247E-3</v>
      </c>
      <c r="E9" s="1" t="s">
        <v>36</v>
      </c>
      <c r="F9" s="4">
        <v>1.0069825798268241E-4</v>
      </c>
      <c r="H9" s="12" t="str">
        <f t="shared" si="0"/>
        <v>f</v>
      </c>
      <c r="I9" s="3">
        <f t="shared" si="1"/>
        <v>0.93968274945865971</v>
      </c>
      <c r="J9" s="3">
        <f t="shared" si="2"/>
        <v>6.0317250541340225E-2</v>
      </c>
      <c r="K9" s="13">
        <f t="shared" si="3"/>
        <v>-0.87936549891731952</v>
      </c>
      <c r="M9" s="12" t="s">
        <v>23</v>
      </c>
      <c r="N9" s="3">
        <v>0.30987202762047256</v>
      </c>
      <c r="O9" s="3">
        <v>0.69012797237952739</v>
      </c>
      <c r="P9" s="13">
        <v>-0.38025594475905483</v>
      </c>
    </row>
    <row r="10" spans="2:16" x14ac:dyDescent="0.45">
      <c r="B10" s="1" t="s">
        <v>37</v>
      </c>
      <c r="C10" s="4">
        <v>2.6669823367359677E-3</v>
      </c>
      <c r="E10" s="1" t="s">
        <v>37</v>
      </c>
      <c r="F10" s="4">
        <v>4.390694230052363E-4</v>
      </c>
      <c r="H10" s="12" t="str">
        <f t="shared" si="0"/>
        <v>g</v>
      </c>
      <c r="I10" s="3">
        <f t="shared" si="1"/>
        <v>0.85864066120977345</v>
      </c>
      <c r="J10" s="3">
        <f t="shared" si="2"/>
        <v>0.14135933879022658</v>
      </c>
      <c r="K10" s="13">
        <f t="shared" si="3"/>
        <v>-0.7172813224195469</v>
      </c>
      <c r="M10" s="12" t="s">
        <v>26</v>
      </c>
      <c r="N10" s="3">
        <v>0.29427368527371639</v>
      </c>
      <c r="O10" s="3">
        <v>0.70572631472628355</v>
      </c>
      <c r="P10" s="13">
        <v>-0.41145262945256716</v>
      </c>
    </row>
    <row r="11" spans="2:16" x14ac:dyDescent="0.45">
      <c r="B11" s="1" t="s">
        <v>38</v>
      </c>
      <c r="C11" s="4">
        <v>5.4507586923054838E-2</v>
      </c>
      <c r="E11" s="1" t="s">
        <v>38</v>
      </c>
      <c r="F11" s="4">
        <v>6.9198466884658583E-2</v>
      </c>
      <c r="H11" s="12" t="str">
        <f t="shared" si="0"/>
        <v>h</v>
      </c>
      <c r="I11" s="3">
        <f t="shared" si="1"/>
        <v>0.44062182282348528</v>
      </c>
      <c r="J11" s="3">
        <f t="shared" si="2"/>
        <v>0.55937817717651472</v>
      </c>
      <c r="K11" s="13">
        <f t="shared" si="3"/>
        <v>0.11875635435302945</v>
      </c>
      <c r="M11" s="12" t="s">
        <v>17</v>
      </c>
      <c r="N11" s="3">
        <v>0.26572171392551663</v>
      </c>
      <c r="O11" s="3">
        <v>0.73427828607448342</v>
      </c>
      <c r="P11" s="13">
        <v>-0.46855657214896679</v>
      </c>
    </row>
    <row r="12" spans="2:16" x14ac:dyDescent="0.45">
      <c r="B12" s="1" t="s">
        <v>39</v>
      </c>
      <c r="C12" s="4">
        <v>3.2438029726509783E-2</v>
      </c>
      <c r="E12" s="1" t="s">
        <v>39</v>
      </c>
      <c r="F12" s="4">
        <v>4.7678436062235277E-2</v>
      </c>
      <c r="H12" s="12" t="str">
        <f t="shared" si="0"/>
        <v>i</v>
      </c>
      <c r="I12" s="3">
        <f t="shared" si="1"/>
        <v>0.40488592959210074</v>
      </c>
      <c r="J12" s="3">
        <f t="shared" si="2"/>
        <v>0.59511407040789921</v>
      </c>
      <c r="K12" s="13">
        <f t="shared" si="3"/>
        <v>0.19022814081579847</v>
      </c>
      <c r="M12" s="12" t="s">
        <v>21</v>
      </c>
      <c r="N12" s="3">
        <v>0.25900996370081986</v>
      </c>
      <c r="O12" s="3">
        <v>0.74099003629918014</v>
      </c>
      <c r="P12" s="13">
        <v>-0.48198007259836029</v>
      </c>
    </row>
    <row r="13" spans="2:16" x14ac:dyDescent="0.45">
      <c r="B13" s="1" t="s">
        <v>40</v>
      </c>
      <c r="C13" s="4">
        <v>8.4914467280387102E-4</v>
      </c>
      <c r="E13" s="1" t="s">
        <v>40</v>
      </c>
      <c r="F13" s="4">
        <v>8.6938247575110898E-5</v>
      </c>
      <c r="H13" s="12" t="str">
        <f t="shared" si="0"/>
        <v>j</v>
      </c>
      <c r="I13" s="3">
        <f t="shared" si="1"/>
        <v>0.90712548463130482</v>
      </c>
      <c r="J13" s="3">
        <f t="shared" si="2"/>
        <v>9.287451536869526E-2</v>
      </c>
      <c r="K13" s="13">
        <f t="shared" si="3"/>
        <v>-0.81425096926260954</v>
      </c>
      <c r="M13" s="12" t="s">
        <v>29</v>
      </c>
      <c r="N13" s="3">
        <v>0.24562367733290696</v>
      </c>
      <c r="O13" s="3">
        <v>0.75437632266709309</v>
      </c>
      <c r="P13" s="13">
        <v>-0.50875264533418618</v>
      </c>
    </row>
    <row r="14" spans="2:16" x14ac:dyDescent="0.45">
      <c r="B14" s="1" t="s">
        <v>41</v>
      </c>
      <c r="C14" s="4">
        <v>2.0407601163369222E-2</v>
      </c>
      <c r="E14" s="1" t="s">
        <v>41</v>
      </c>
      <c r="F14" s="4">
        <v>3.6151300070801507E-4</v>
      </c>
      <c r="H14" s="12" t="str">
        <f t="shared" si="0"/>
        <v>k</v>
      </c>
      <c r="I14" s="3">
        <f t="shared" si="1"/>
        <v>0.98259372075996887</v>
      </c>
      <c r="J14" s="3">
        <f t="shared" si="2"/>
        <v>1.7406279240031176E-2</v>
      </c>
      <c r="K14" s="13">
        <f t="shared" si="3"/>
        <v>-0.96518744151993774</v>
      </c>
      <c r="M14" s="12" t="s">
        <v>16</v>
      </c>
      <c r="N14" s="3">
        <v>0.24500935853706032</v>
      </c>
      <c r="O14" s="3">
        <v>0.7549906414629397</v>
      </c>
      <c r="P14" s="13">
        <v>-0.50998128292587941</v>
      </c>
    </row>
    <row r="15" spans="2:16" x14ac:dyDescent="0.45">
      <c r="B15" s="1" t="s">
        <v>42</v>
      </c>
      <c r="C15" s="4">
        <v>6.5353666705148722E-2</v>
      </c>
      <c r="E15" s="1" t="s">
        <v>42</v>
      </c>
      <c r="F15" s="4">
        <v>2.1208554223197375E-2</v>
      </c>
      <c r="H15" s="12" t="str">
        <f t="shared" si="0"/>
        <v>l</v>
      </c>
      <c r="I15" s="3">
        <f t="shared" si="1"/>
        <v>0.7549906414629397</v>
      </c>
      <c r="J15" s="3">
        <f t="shared" si="2"/>
        <v>0.24500935853706032</v>
      </c>
      <c r="K15" s="13">
        <f t="shared" si="3"/>
        <v>-0.50998128292587941</v>
      </c>
      <c r="M15" s="12" t="s">
        <v>20</v>
      </c>
      <c r="N15" s="3">
        <v>0.18117864498364764</v>
      </c>
      <c r="O15" s="3">
        <v>0.81882135501635234</v>
      </c>
      <c r="P15" s="13">
        <v>-0.63764271003270467</v>
      </c>
    </row>
    <row r="16" spans="2:16" x14ac:dyDescent="0.45">
      <c r="B16" s="1" t="s">
        <v>43</v>
      </c>
      <c r="C16" s="4">
        <v>3.2865239158168871E-2</v>
      </c>
      <c r="E16" s="1" t="s">
        <v>43</v>
      </c>
      <c r="F16" s="4">
        <v>4.1580249631606994E-3</v>
      </c>
      <c r="H16" s="12" t="str">
        <f t="shared" si="0"/>
        <v>m</v>
      </c>
      <c r="I16" s="3">
        <f t="shared" si="1"/>
        <v>0.88769156199911592</v>
      </c>
      <c r="J16" s="3">
        <f t="shared" si="2"/>
        <v>0.11230843800088411</v>
      </c>
      <c r="K16" s="13">
        <f t="shared" si="3"/>
        <v>-0.77538312399823184</v>
      </c>
      <c r="M16" s="12" t="s">
        <v>24</v>
      </c>
      <c r="N16" s="3">
        <v>0.16496683064842091</v>
      </c>
      <c r="O16" s="3">
        <v>0.83503316935157901</v>
      </c>
      <c r="P16" s="13">
        <v>-0.67006633870315813</v>
      </c>
    </row>
    <row r="17" spans="2:16" x14ac:dyDescent="0.45">
      <c r="B17" s="1" t="s">
        <v>44</v>
      </c>
      <c r="C17" s="4">
        <v>0.31484690489989881</v>
      </c>
      <c r="E17" s="1" t="s">
        <v>44</v>
      </c>
      <c r="F17" s="4">
        <v>0.11393726435982177</v>
      </c>
      <c r="H17" s="12" t="str">
        <f t="shared" si="0"/>
        <v>n</v>
      </c>
      <c r="I17" s="3">
        <f t="shared" si="1"/>
        <v>0.73427828607448342</v>
      </c>
      <c r="J17" s="3">
        <f t="shared" si="2"/>
        <v>0.26572171392551663</v>
      </c>
      <c r="K17" s="13">
        <f t="shared" si="3"/>
        <v>-0.46855657214896679</v>
      </c>
      <c r="M17" s="12" t="s">
        <v>27</v>
      </c>
      <c r="N17" s="3">
        <v>0.15211158978700082</v>
      </c>
      <c r="O17" s="3">
        <v>0.8478884102129991</v>
      </c>
      <c r="P17" s="13">
        <v>-0.69577682042599831</v>
      </c>
    </row>
    <row r="18" spans="2:16" x14ac:dyDescent="0.45">
      <c r="B18" s="1" t="s">
        <v>45</v>
      </c>
      <c r="C18" s="4">
        <v>6.0136320244159859E-2</v>
      </c>
      <c r="E18" s="1" t="s">
        <v>45</v>
      </c>
      <c r="F18" s="4">
        <v>2.1659507291554607E-3</v>
      </c>
      <c r="H18" s="12" t="str">
        <f t="shared" si="0"/>
        <v>o</v>
      </c>
      <c r="I18" s="3">
        <f t="shared" si="1"/>
        <v>0.96523480291620256</v>
      </c>
      <c r="J18" s="3">
        <f t="shared" si="2"/>
        <v>3.476519708379746E-2</v>
      </c>
      <c r="K18" s="13">
        <f t="shared" si="3"/>
        <v>-0.93046960583240512</v>
      </c>
      <c r="M18" s="12" t="s">
        <v>25</v>
      </c>
      <c r="N18" s="3">
        <v>0.14715090805713971</v>
      </c>
      <c r="O18" s="3">
        <v>0.8528490919428604</v>
      </c>
      <c r="P18" s="13">
        <v>-0.7056981838857207</v>
      </c>
    </row>
    <row r="19" spans="2:16" x14ac:dyDescent="0.45">
      <c r="B19" s="1" t="s">
        <v>46</v>
      </c>
      <c r="C19" s="4">
        <v>1.5119346141021306E-3</v>
      </c>
      <c r="E19" s="1" t="s">
        <v>46</v>
      </c>
      <c r="F19" s="4">
        <v>9.5069162815948597E-5</v>
      </c>
      <c r="H19" s="12" t="str">
        <f t="shared" si="0"/>
        <v>p</v>
      </c>
      <c r="I19" s="3">
        <f t="shared" si="1"/>
        <v>0.94084073467563789</v>
      </c>
      <c r="J19" s="3">
        <f t="shared" si="2"/>
        <v>5.9159265324362068E-2</v>
      </c>
      <c r="K19" s="13">
        <f t="shared" si="3"/>
        <v>-0.88168146935127578</v>
      </c>
      <c r="M19" s="12" t="s">
        <v>11</v>
      </c>
      <c r="N19" s="3">
        <v>0.14135933879022658</v>
      </c>
      <c r="O19" s="3">
        <v>0.85864066120977345</v>
      </c>
      <c r="P19" s="13">
        <v>-0.7172813224195469</v>
      </c>
    </row>
    <row r="20" spans="2:16" x14ac:dyDescent="0.45">
      <c r="B20" s="1" t="s">
        <v>47</v>
      </c>
      <c r="C20" s="4">
        <v>1.9221494318817786E-4</v>
      </c>
      <c r="E20" s="1" t="s">
        <v>47</v>
      </c>
      <c r="F20" s="4">
        <v>4.253094125976648E-5</v>
      </c>
      <c r="H20" s="12" t="str">
        <f t="shared" si="0"/>
        <v>q</v>
      </c>
      <c r="I20" s="3">
        <f t="shared" si="1"/>
        <v>0.81882135501635234</v>
      </c>
      <c r="J20" s="3">
        <f t="shared" si="2"/>
        <v>0.18117864498364764</v>
      </c>
      <c r="K20" s="13">
        <f t="shared" si="3"/>
        <v>-0.63764271003270467</v>
      </c>
      <c r="M20" s="12" t="s">
        <v>22</v>
      </c>
      <c r="N20" s="3">
        <v>0.13115114302779657</v>
      </c>
      <c r="O20" s="3">
        <v>0.86884885697220349</v>
      </c>
      <c r="P20" s="13">
        <v>-0.73769771394440697</v>
      </c>
    </row>
    <row r="21" spans="2:16" x14ac:dyDescent="0.45">
      <c r="B21" s="1" t="s">
        <v>48</v>
      </c>
      <c r="C21" s="4">
        <v>9.5192692550440314E-2</v>
      </c>
      <c r="E21" s="1" t="s">
        <v>48</v>
      </c>
      <c r="F21" s="4">
        <v>3.3274206985582012E-2</v>
      </c>
      <c r="H21" s="12" t="str">
        <f t="shared" si="0"/>
        <v>r</v>
      </c>
      <c r="I21" s="3">
        <f t="shared" si="1"/>
        <v>0.74099003629918014</v>
      </c>
      <c r="J21" s="3">
        <f t="shared" si="2"/>
        <v>0.25900996370081986</v>
      </c>
      <c r="K21" s="13">
        <f t="shared" si="3"/>
        <v>-0.48198007259836029</v>
      </c>
      <c r="M21" s="12" t="s">
        <v>4</v>
      </c>
      <c r="N21" s="3">
        <v>0.11230843800088411</v>
      </c>
      <c r="O21" s="3">
        <v>0.88769156199911592</v>
      </c>
      <c r="P21" s="13">
        <v>-0.77538312399823184</v>
      </c>
    </row>
    <row r="22" spans="2:16" x14ac:dyDescent="0.45">
      <c r="B22" s="1" t="s">
        <v>49</v>
      </c>
      <c r="C22" s="4">
        <v>7.796425622486336E-2</v>
      </c>
      <c r="E22" s="1" t="s">
        <v>49</v>
      </c>
      <c r="F22" s="4">
        <v>1.1768561628584796E-2</v>
      </c>
      <c r="H22" s="12" t="str">
        <f t="shared" si="0"/>
        <v>s</v>
      </c>
      <c r="I22" s="3">
        <f t="shared" si="1"/>
        <v>0.86884885697220349</v>
      </c>
      <c r="J22" s="3">
        <f t="shared" si="2"/>
        <v>0.13115114302779657</v>
      </c>
      <c r="K22" s="13">
        <f t="shared" si="3"/>
        <v>-0.73769771394440697</v>
      </c>
      <c r="M22" s="12" t="s">
        <v>8</v>
      </c>
      <c r="N22" s="3">
        <v>9.4488217481443856E-2</v>
      </c>
      <c r="O22" s="3">
        <v>0.90551178251855624</v>
      </c>
      <c r="P22" s="13">
        <v>-0.81102356503711237</v>
      </c>
    </row>
    <row r="23" spans="2:16" x14ac:dyDescent="0.45">
      <c r="B23" s="1" t="s">
        <v>50</v>
      </c>
      <c r="C23" s="4">
        <v>3.2832421972746502E-2</v>
      </c>
      <c r="E23" s="1" t="s">
        <v>50</v>
      </c>
      <c r="F23" s="4">
        <v>1.4741974786657293E-2</v>
      </c>
      <c r="H23" s="12" t="str">
        <f t="shared" si="0"/>
        <v>t</v>
      </c>
      <c r="I23" s="3">
        <f t="shared" si="1"/>
        <v>0.69012797237952739</v>
      </c>
      <c r="J23" s="3">
        <f t="shared" si="2"/>
        <v>0.30987202762047256</v>
      </c>
      <c r="K23" s="13">
        <f t="shared" si="3"/>
        <v>-0.38025594475905483</v>
      </c>
      <c r="M23" s="12" t="s">
        <v>14</v>
      </c>
      <c r="N23" s="3">
        <v>9.287451536869526E-2</v>
      </c>
      <c r="O23" s="3">
        <v>0.90712548463130482</v>
      </c>
      <c r="P23" s="13">
        <v>-0.81425096926260954</v>
      </c>
    </row>
    <row r="24" spans="2:16" x14ac:dyDescent="0.45">
      <c r="B24" s="1" t="s">
        <v>51</v>
      </c>
      <c r="C24" s="4">
        <v>3.3748959079899885E-3</v>
      </c>
      <c r="E24" s="1" t="s">
        <v>51</v>
      </c>
      <c r="F24" s="4">
        <v>6.6673504974869215E-4</v>
      </c>
      <c r="H24" s="12" t="str">
        <f t="shared" si="0"/>
        <v>u</v>
      </c>
      <c r="I24" s="3">
        <f t="shared" si="1"/>
        <v>0.83503316935157901</v>
      </c>
      <c r="J24" s="3">
        <f t="shared" si="2"/>
        <v>0.16496683064842091</v>
      </c>
      <c r="K24" s="13">
        <f t="shared" si="3"/>
        <v>-0.67006633870315813</v>
      </c>
      <c r="M24" s="12" t="s">
        <v>10</v>
      </c>
      <c r="N24" s="3">
        <v>6.0317250541340225E-2</v>
      </c>
      <c r="O24" s="3">
        <v>0.93968274945865971</v>
      </c>
      <c r="P24" s="13">
        <v>-0.87936549891731952</v>
      </c>
    </row>
    <row r="25" spans="2:16" x14ac:dyDescent="0.45">
      <c r="B25" s="1" t="s">
        <v>52</v>
      </c>
      <c r="C25" s="4">
        <v>1.6783646258870164E-3</v>
      </c>
      <c r="E25" s="1" t="s">
        <v>52</v>
      </c>
      <c r="F25" s="4">
        <v>2.8958567357752766E-4</v>
      </c>
      <c r="H25" s="12" t="str">
        <f t="shared" si="0"/>
        <v>v</v>
      </c>
      <c r="I25" s="3">
        <f t="shared" si="1"/>
        <v>0.8528490919428604</v>
      </c>
      <c r="J25" s="3">
        <f t="shared" si="2"/>
        <v>0.14715090805713971</v>
      </c>
      <c r="K25" s="13">
        <f t="shared" si="3"/>
        <v>-0.7056981838857207</v>
      </c>
      <c r="M25" s="12" t="s">
        <v>19</v>
      </c>
      <c r="N25" s="3">
        <v>5.9159265324362068E-2</v>
      </c>
      <c r="O25" s="3">
        <v>0.94084073467563789</v>
      </c>
      <c r="P25" s="13">
        <v>-0.88168146935127578</v>
      </c>
    </row>
    <row r="26" spans="2:16" x14ac:dyDescent="0.45">
      <c r="B26" s="1" t="s">
        <v>53</v>
      </c>
      <c r="C26" s="4">
        <v>9.9957630669535048E-3</v>
      </c>
      <c r="E26" s="1" t="s">
        <v>53</v>
      </c>
      <c r="F26" s="4">
        <v>4.168032243457115E-3</v>
      </c>
      <c r="H26" s="12" t="str">
        <f t="shared" si="0"/>
        <v>w</v>
      </c>
      <c r="I26" s="3">
        <f t="shared" si="1"/>
        <v>0.70572631472628355</v>
      </c>
      <c r="J26" s="3">
        <f t="shared" si="2"/>
        <v>0.29427368527371639</v>
      </c>
      <c r="K26" s="13">
        <f t="shared" si="3"/>
        <v>-0.41145262945256716</v>
      </c>
      <c r="M26" s="12" t="s">
        <v>7</v>
      </c>
      <c r="N26" s="3">
        <v>5.396127411769986E-2</v>
      </c>
      <c r="O26" s="3">
        <v>0.9460387258823002</v>
      </c>
      <c r="P26" s="13">
        <v>-0.89207745176460029</v>
      </c>
    </row>
    <row r="27" spans="2:16" x14ac:dyDescent="0.45">
      <c r="B27" s="1" t="s">
        <v>54</v>
      </c>
      <c r="C27" s="4">
        <v>1.1668853502326212E-2</v>
      </c>
      <c r="E27" s="1" t="s">
        <v>54</v>
      </c>
      <c r="F27" s="4">
        <v>2.0933979470064471E-3</v>
      </c>
      <c r="H27" s="12" t="str">
        <f t="shared" si="0"/>
        <v>x</v>
      </c>
      <c r="I27" s="3">
        <f t="shared" si="1"/>
        <v>0.8478884102129991</v>
      </c>
      <c r="J27" s="3">
        <f t="shared" si="2"/>
        <v>0.15211158978700082</v>
      </c>
      <c r="K27" s="13">
        <f t="shared" si="3"/>
        <v>-0.69577682042599831</v>
      </c>
      <c r="M27" s="12" t="s">
        <v>18</v>
      </c>
      <c r="N27" s="3">
        <v>3.476519708379746E-2</v>
      </c>
      <c r="O27" s="3">
        <v>0.96523480291620256</v>
      </c>
      <c r="P27" s="13">
        <v>-0.93046960583240512</v>
      </c>
    </row>
    <row r="28" spans="2:16" x14ac:dyDescent="0.45">
      <c r="B28" s="1" t="s">
        <v>55</v>
      </c>
      <c r="C28" s="4">
        <v>4.7782994017309892E-2</v>
      </c>
      <c r="E28" s="1" t="s">
        <v>55</v>
      </c>
      <c r="F28" s="4">
        <v>0.11032338526277867</v>
      </c>
      <c r="H28" s="12" t="str">
        <f t="shared" si="0"/>
        <v>y</v>
      </c>
      <c r="I28" s="3">
        <f t="shared" si="1"/>
        <v>0.302220531738706</v>
      </c>
      <c r="J28" s="3">
        <f t="shared" si="2"/>
        <v>0.697779468261294</v>
      </c>
      <c r="K28" s="13">
        <f t="shared" si="3"/>
        <v>0.395558936522588</v>
      </c>
      <c r="M28" s="12" t="s">
        <v>6</v>
      </c>
      <c r="N28" s="3">
        <v>3.0555523243528476E-2</v>
      </c>
      <c r="O28" s="3">
        <v>0.96944447675647161</v>
      </c>
      <c r="P28" s="13">
        <v>-0.9388889535129431</v>
      </c>
    </row>
    <row r="29" spans="2:16" x14ac:dyDescent="0.45">
      <c r="B29" s="1" t="s">
        <v>56</v>
      </c>
      <c r="C29" s="4">
        <v>2.0112246494567877E-3</v>
      </c>
      <c r="E29" s="1" t="s">
        <v>56</v>
      </c>
      <c r="F29" s="4">
        <v>6.5485140439669855E-4</v>
      </c>
      <c r="H29" s="12" t="str">
        <f t="shared" si="0"/>
        <v>z</v>
      </c>
      <c r="I29" s="3">
        <f t="shared" si="1"/>
        <v>0.75437632266709309</v>
      </c>
      <c r="J29" s="3">
        <f t="shared" si="2"/>
        <v>0.24562367733290696</v>
      </c>
      <c r="K29" s="13">
        <f t="shared" si="3"/>
        <v>-0.50875264533418618</v>
      </c>
      <c r="M29" s="12" t="s">
        <v>15</v>
      </c>
      <c r="N29" s="3">
        <v>1.7406279240031176E-2</v>
      </c>
      <c r="O29" s="3">
        <v>0.98259372075996887</v>
      </c>
      <c r="P29" s="13">
        <v>-0.96518744151993774</v>
      </c>
    </row>
    <row r="34" spans="2:6" x14ac:dyDescent="0.45">
      <c r="B34" s="2" t="s">
        <v>163</v>
      </c>
      <c r="E34" s="2" t="s">
        <v>164</v>
      </c>
    </row>
    <row r="35" spans="2:6" x14ac:dyDescent="0.45">
      <c r="B35" s="1" t="s">
        <v>169</v>
      </c>
      <c r="C35" s="1" t="s">
        <v>170</v>
      </c>
      <c r="E35" s="1" t="s">
        <v>169</v>
      </c>
      <c r="F35" s="1" t="s">
        <v>170</v>
      </c>
    </row>
    <row r="36" spans="2:6" x14ac:dyDescent="0.45">
      <c r="B36" s="1" t="s">
        <v>17</v>
      </c>
      <c r="C36" s="4">
        <v>0.31484690489989881</v>
      </c>
      <c r="E36" s="1" t="s">
        <v>5</v>
      </c>
      <c r="F36" s="4">
        <v>0.3820767108071122</v>
      </c>
    </row>
    <row r="37" spans="2:6" x14ac:dyDescent="0.45">
      <c r="B37" s="1" t="s">
        <v>21</v>
      </c>
      <c r="C37" s="4">
        <v>9.5192692550440314E-2</v>
      </c>
      <c r="E37" s="1" t="s">
        <v>9</v>
      </c>
      <c r="F37" s="4">
        <v>0.1772258067744284</v>
      </c>
    </row>
    <row r="38" spans="2:6" x14ac:dyDescent="0.45">
      <c r="B38" s="1" t="s">
        <v>22</v>
      </c>
      <c r="C38" s="4">
        <v>7.796425622486336E-2</v>
      </c>
      <c r="E38" s="1" t="s">
        <v>17</v>
      </c>
      <c r="F38" s="4">
        <v>0.11393726435982177</v>
      </c>
    </row>
    <row r="39" spans="2:6" x14ac:dyDescent="0.45">
      <c r="B39" s="1" t="s">
        <v>9</v>
      </c>
      <c r="C39" s="4">
        <v>6.771826211906426E-2</v>
      </c>
      <c r="E39" s="1" t="s">
        <v>28</v>
      </c>
      <c r="F39" s="4">
        <v>0.11032338526277867</v>
      </c>
    </row>
    <row r="40" spans="2:6" x14ac:dyDescent="0.45">
      <c r="B40" s="1" t="s">
        <v>16</v>
      </c>
      <c r="C40" s="4">
        <v>6.5353666705148722E-2</v>
      </c>
      <c r="E40" s="1" t="s">
        <v>12</v>
      </c>
      <c r="F40" s="4">
        <v>6.9198466884658583E-2</v>
      </c>
    </row>
    <row r="41" spans="2:6" x14ac:dyDescent="0.45">
      <c r="B41" s="1" t="s">
        <v>18</v>
      </c>
      <c r="C41" s="4">
        <v>6.0136320244159859E-2</v>
      </c>
      <c r="E41" s="1" t="s">
        <v>13</v>
      </c>
      <c r="F41" s="4">
        <v>4.7678436062235277E-2</v>
      </c>
    </row>
    <row r="42" spans="2:6" x14ac:dyDescent="0.45">
      <c r="B42" s="1" t="s">
        <v>12</v>
      </c>
      <c r="C42" s="4">
        <v>5.4507586923054838E-2</v>
      </c>
      <c r="E42" s="1" t="s">
        <v>21</v>
      </c>
      <c r="F42" s="4">
        <v>3.3274206985582012E-2</v>
      </c>
    </row>
    <row r="43" spans="2:6" x14ac:dyDescent="0.45">
      <c r="B43" s="1" t="s">
        <v>28</v>
      </c>
      <c r="C43" s="4">
        <v>4.7782994017309892E-2</v>
      </c>
      <c r="E43" s="1" t="s">
        <v>16</v>
      </c>
      <c r="F43" s="4">
        <v>2.1208554223197375E-2</v>
      </c>
    </row>
    <row r="44" spans="2:6" x14ac:dyDescent="0.45">
      <c r="B44" s="1" t="s">
        <v>4</v>
      </c>
      <c r="C44" s="4">
        <v>3.2865239158168871E-2</v>
      </c>
      <c r="E44" s="1" t="s">
        <v>23</v>
      </c>
      <c r="F44" s="4">
        <v>1.4741974786657293E-2</v>
      </c>
    </row>
    <row r="45" spans="2:6" x14ac:dyDescent="0.45">
      <c r="B45" s="1" t="s">
        <v>23</v>
      </c>
      <c r="C45" s="4">
        <v>3.2832421972746502E-2</v>
      </c>
      <c r="E45" s="1" t="s">
        <v>22</v>
      </c>
      <c r="F45" s="4">
        <v>1.1768561628584796E-2</v>
      </c>
    </row>
    <row r="46" spans="2:6" x14ac:dyDescent="0.45">
      <c r="B46" s="1" t="s">
        <v>13</v>
      </c>
      <c r="C46" s="4">
        <v>3.2438029726509783E-2</v>
      </c>
      <c r="E46" s="1" t="s">
        <v>26</v>
      </c>
      <c r="F46" s="4">
        <v>4.168032243457115E-3</v>
      </c>
    </row>
    <row r="47" spans="2:6" x14ac:dyDescent="0.45">
      <c r="B47" s="1" t="s">
        <v>8</v>
      </c>
      <c r="C47" s="4">
        <v>2.2615142904191986E-2</v>
      </c>
      <c r="E47" s="1" t="s">
        <v>4</v>
      </c>
      <c r="F47" s="4">
        <v>4.1580249631606994E-3</v>
      </c>
    </row>
    <row r="48" spans="2:6" x14ac:dyDescent="0.45">
      <c r="B48" s="1" t="s">
        <v>15</v>
      </c>
      <c r="C48" s="4">
        <v>2.0407601163369222E-2</v>
      </c>
      <c r="E48" s="1" t="s">
        <v>8</v>
      </c>
      <c r="F48" s="4">
        <v>2.3598417848985135E-3</v>
      </c>
    </row>
    <row r="49" spans="2:6" x14ac:dyDescent="0.45">
      <c r="B49" s="1" t="s">
        <v>5</v>
      </c>
      <c r="C49" s="4">
        <v>1.9610026353371935E-2</v>
      </c>
      <c r="E49" s="1" t="s">
        <v>18</v>
      </c>
      <c r="F49" s="4">
        <v>2.1659507291554607E-3</v>
      </c>
    </row>
    <row r="50" spans="2:6" x14ac:dyDescent="0.45">
      <c r="B50" s="1" t="s">
        <v>27</v>
      </c>
      <c r="C50" s="4">
        <v>1.1668853502326212E-2</v>
      </c>
      <c r="E50" s="1" t="s">
        <v>27</v>
      </c>
      <c r="F50" s="4">
        <v>2.0933979470064471E-3</v>
      </c>
    </row>
    <row r="51" spans="2:6" x14ac:dyDescent="0.45">
      <c r="B51" s="1" t="s">
        <v>6</v>
      </c>
      <c r="C51" s="4">
        <v>1.0517321906701915E-2</v>
      </c>
      <c r="E51" s="1" t="s">
        <v>24</v>
      </c>
      <c r="F51" s="4">
        <v>6.6673504974869215E-4</v>
      </c>
    </row>
    <row r="52" spans="2:6" x14ac:dyDescent="0.45">
      <c r="B52" s="1" t="s">
        <v>26</v>
      </c>
      <c r="C52" s="4">
        <v>9.9957630669535048E-3</v>
      </c>
      <c r="E52" s="1" t="s">
        <v>29</v>
      </c>
      <c r="F52" s="4">
        <v>6.5485140439669855E-4</v>
      </c>
    </row>
    <row r="53" spans="2:6" x14ac:dyDescent="0.45">
      <c r="B53" s="1" t="s">
        <v>7</v>
      </c>
      <c r="C53" s="4">
        <v>9.6933761441330788E-3</v>
      </c>
      <c r="E53" s="1" t="s">
        <v>7</v>
      </c>
      <c r="F53" s="4">
        <v>5.529022363769642E-4</v>
      </c>
    </row>
    <row r="54" spans="2:6" x14ac:dyDescent="0.45">
      <c r="B54" s="1" t="s">
        <v>24</v>
      </c>
      <c r="C54" s="4">
        <v>3.3748959079899885E-3</v>
      </c>
      <c r="E54" s="1" t="s">
        <v>11</v>
      </c>
      <c r="F54" s="4">
        <v>4.390694230052363E-4</v>
      </c>
    </row>
    <row r="55" spans="2:6" x14ac:dyDescent="0.45">
      <c r="B55" s="1" t="s">
        <v>11</v>
      </c>
      <c r="C55" s="4">
        <v>2.6669823367359677E-3</v>
      </c>
      <c r="E55" s="1" t="s">
        <v>15</v>
      </c>
      <c r="F55" s="4">
        <v>3.6151300070801507E-4</v>
      </c>
    </row>
    <row r="56" spans="2:6" x14ac:dyDescent="0.45">
      <c r="B56" s="1" t="s">
        <v>29</v>
      </c>
      <c r="C56" s="4">
        <v>2.0112246494567877E-3</v>
      </c>
      <c r="E56" s="1" t="s">
        <v>6</v>
      </c>
      <c r="F56" s="4">
        <v>3.3149115981876814E-4</v>
      </c>
    </row>
    <row r="57" spans="2:6" x14ac:dyDescent="0.45">
      <c r="B57" s="1" t="s">
        <v>25</v>
      </c>
      <c r="C57" s="4">
        <v>1.6783646258870164E-3</v>
      </c>
      <c r="E57" s="1" t="s">
        <v>25</v>
      </c>
      <c r="F57" s="4">
        <v>2.8958567357752766E-4</v>
      </c>
    </row>
    <row r="58" spans="2:6" x14ac:dyDescent="0.45">
      <c r="B58" s="1" t="s">
        <v>10</v>
      </c>
      <c r="C58" s="4">
        <v>1.5687786674230247E-3</v>
      </c>
      <c r="E58" s="1" t="s">
        <v>10</v>
      </c>
      <c r="F58" s="4">
        <v>1.0069825798268241E-4</v>
      </c>
    </row>
    <row r="59" spans="2:6" x14ac:dyDescent="0.45">
      <c r="B59" s="1" t="s">
        <v>19</v>
      </c>
      <c r="C59" s="4">
        <v>1.5119346141021306E-3</v>
      </c>
      <c r="E59" s="1" t="s">
        <v>19</v>
      </c>
      <c r="F59" s="4">
        <v>9.5069162815948597E-5</v>
      </c>
    </row>
    <row r="60" spans="2:6" x14ac:dyDescent="0.45">
      <c r="B60" s="1" t="s">
        <v>14</v>
      </c>
      <c r="C60" s="4">
        <v>8.4914467280387102E-4</v>
      </c>
      <c r="E60" s="1" t="s">
        <v>14</v>
      </c>
      <c r="F60" s="4">
        <v>8.6938247575110898E-5</v>
      </c>
    </row>
    <row r="61" spans="2:6" x14ac:dyDescent="0.45">
      <c r="B61" s="1" t="s">
        <v>20</v>
      </c>
      <c r="C61" s="4">
        <v>1.9221494318817786E-4</v>
      </c>
      <c r="E61" s="1" t="s">
        <v>20</v>
      </c>
      <c r="F61" s="4">
        <v>4.253094125976648E-5</v>
      </c>
    </row>
  </sheetData>
  <autoFilter ref="E35:F35" xr:uid="{78012814-E80D-4F0F-B7DC-758B8A4D861B}">
    <sortState xmlns:xlrd2="http://schemas.microsoft.com/office/spreadsheetml/2017/richdata2" ref="E36:F61">
      <sortCondition descending="1" ref="F35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B08F-212A-4CA9-B74B-3ECD86CD7D49}">
  <dimension ref="B2:R53"/>
  <sheetViews>
    <sheetView topLeftCell="A18" workbookViewId="0">
      <selection activeCell="K32" sqref="K32"/>
    </sheetView>
  </sheetViews>
  <sheetFormatPr defaultRowHeight="14.25" x14ac:dyDescent="0.45"/>
  <cols>
    <col min="4" max="4" width="11.33203125" bestFit="1" customWidth="1"/>
  </cols>
  <sheetData>
    <row r="2" spans="2:10" x14ac:dyDescent="0.45">
      <c r="C2" s="10" t="s">
        <v>110</v>
      </c>
      <c r="D2" s="10">
        <f>Sheet1!G1</f>
        <v>1598836</v>
      </c>
    </row>
    <row r="3" spans="2:10" x14ac:dyDescent="0.45">
      <c r="B3" s="1" t="s">
        <v>58</v>
      </c>
      <c r="C3" s="1" t="s">
        <v>0</v>
      </c>
      <c r="D3" s="1" t="s">
        <v>2</v>
      </c>
      <c r="E3" s="1" t="s">
        <v>57</v>
      </c>
      <c r="H3" s="8" t="s">
        <v>58</v>
      </c>
      <c r="I3" s="1" t="s">
        <v>109</v>
      </c>
      <c r="J3" s="2" t="s">
        <v>162</v>
      </c>
    </row>
    <row r="4" spans="2:10" x14ac:dyDescent="0.45">
      <c r="B4" t="s">
        <v>112</v>
      </c>
      <c r="C4" t="s">
        <v>10</v>
      </c>
      <c r="D4">
        <v>17535</v>
      </c>
      <c r="E4" s="4">
        <f>D4/$D$2</f>
        <v>1.0967353749853017E-2</v>
      </c>
      <c r="H4" s="9" t="s">
        <v>112</v>
      </c>
      <c r="I4">
        <v>17535</v>
      </c>
      <c r="J4" s="11">
        <v>1.0967353749853017E-2</v>
      </c>
    </row>
    <row r="5" spans="2:10" x14ac:dyDescent="0.45">
      <c r="B5" t="s">
        <v>113</v>
      </c>
      <c r="C5" t="s">
        <v>10</v>
      </c>
      <c r="D5">
        <v>15581</v>
      </c>
      <c r="E5" s="4">
        <f t="shared" ref="E5:E53" si="0">D5/$D$2</f>
        <v>9.7452146436532577E-3</v>
      </c>
      <c r="H5" s="9" t="s">
        <v>113</v>
      </c>
      <c r="I5">
        <v>15581</v>
      </c>
      <c r="J5" s="11">
        <v>9.7452146436532577E-3</v>
      </c>
    </row>
    <row r="6" spans="2:10" x14ac:dyDescent="0.45">
      <c r="B6" t="s">
        <v>114</v>
      </c>
      <c r="C6" t="s">
        <v>10</v>
      </c>
      <c r="D6">
        <v>13084</v>
      </c>
      <c r="E6" s="4">
        <f t="shared" si="0"/>
        <v>8.1834534623938908E-3</v>
      </c>
      <c r="H6" s="9" t="s">
        <v>114</v>
      </c>
      <c r="I6">
        <v>13084</v>
      </c>
      <c r="J6" s="11">
        <v>8.1834534623938908E-3</v>
      </c>
    </row>
    <row r="7" spans="2:10" x14ac:dyDescent="0.45">
      <c r="B7" t="s">
        <v>115</v>
      </c>
      <c r="C7" t="s">
        <v>10</v>
      </c>
      <c r="D7">
        <v>13003</v>
      </c>
      <c r="E7" s="4">
        <f t="shared" si="0"/>
        <v>8.1327916058932873E-3</v>
      </c>
      <c r="H7" s="9" t="s">
        <v>115</v>
      </c>
      <c r="I7">
        <v>13003</v>
      </c>
      <c r="J7" s="11">
        <v>8.1327916058932873E-3</v>
      </c>
    </row>
    <row r="8" spans="2:10" x14ac:dyDescent="0.45">
      <c r="B8" t="s">
        <v>116</v>
      </c>
      <c r="C8" t="s">
        <v>10</v>
      </c>
      <c r="D8">
        <v>12976</v>
      </c>
      <c r="E8" s="4">
        <f t="shared" si="0"/>
        <v>8.1159043203930855E-3</v>
      </c>
      <c r="H8" s="9" t="s">
        <v>116</v>
      </c>
      <c r="I8">
        <v>12976</v>
      </c>
      <c r="J8" s="11">
        <v>8.1159043203930855E-3</v>
      </c>
    </row>
    <row r="9" spans="2:10" x14ac:dyDescent="0.45">
      <c r="B9" t="s">
        <v>117</v>
      </c>
      <c r="C9" t="s">
        <v>10</v>
      </c>
      <c r="D9">
        <v>12704</v>
      </c>
      <c r="E9" s="4">
        <f t="shared" si="0"/>
        <v>7.9457805553540192E-3</v>
      </c>
      <c r="H9" s="9" t="s">
        <v>117</v>
      </c>
      <c r="I9">
        <v>12704</v>
      </c>
      <c r="J9" s="11">
        <v>7.9457805553540192E-3</v>
      </c>
    </row>
    <row r="10" spans="2:10" x14ac:dyDescent="0.45">
      <c r="B10" t="s">
        <v>118</v>
      </c>
      <c r="C10" t="s">
        <v>10</v>
      </c>
      <c r="D10">
        <v>12066</v>
      </c>
      <c r="E10" s="4">
        <f t="shared" si="0"/>
        <v>7.5467402535344466E-3</v>
      </c>
      <c r="H10" s="9" t="s">
        <v>118</v>
      </c>
      <c r="I10">
        <v>12066</v>
      </c>
      <c r="J10" s="11">
        <v>7.5467402535344466E-3</v>
      </c>
    </row>
    <row r="11" spans="2:10" x14ac:dyDescent="0.45">
      <c r="B11" t="s">
        <v>119</v>
      </c>
      <c r="C11" t="s">
        <v>10</v>
      </c>
      <c r="D11">
        <v>11157</v>
      </c>
      <c r="E11" s="4">
        <f t="shared" si="0"/>
        <v>6.9782016416943329E-3</v>
      </c>
      <c r="H11" s="9" t="s">
        <v>119</v>
      </c>
      <c r="I11">
        <v>11157</v>
      </c>
      <c r="J11" s="11">
        <v>6.9782016416943329E-3</v>
      </c>
    </row>
    <row r="12" spans="2:10" x14ac:dyDescent="0.45">
      <c r="B12" t="s">
        <v>120</v>
      </c>
      <c r="C12" t="s">
        <v>10</v>
      </c>
      <c r="D12">
        <v>9445</v>
      </c>
      <c r="E12" s="4">
        <f t="shared" si="0"/>
        <v>5.9074226499778587E-3</v>
      </c>
      <c r="H12" s="9" t="s">
        <v>120</v>
      </c>
      <c r="I12">
        <v>9445</v>
      </c>
      <c r="J12" s="11">
        <v>5.9074226499778587E-3</v>
      </c>
    </row>
    <row r="13" spans="2:10" x14ac:dyDescent="0.45">
      <c r="B13" t="s">
        <v>121</v>
      </c>
      <c r="C13" t="s">
        <v>10</v>
      </c>
      <c r="D13">
        <v>8778</v>
      </c>
      <c r="E13" s="4">
        <f t="shared" si="0"/>
        <v>5.4902441526210322E-3</v>
      </c>
      <c r="H13" s="9" t="s">
        <v>121</v>
      </c>
      <c r="I13">
        <v>8778</v>
      </c>
      <c r="J13" s="11">
        <v>5.4902441526210322E-3</v>
      </c>
    </row>
    <row r="14" spans="2:10" x14ac:dyDescent="0.45">
      <c r="B14" t="s">
        <v>122</v>
      </c>
      <c r="C14" t="s">
        <v>10</v>
      </c>
      <c r="D14">
        <v>8096</v>
      </c>
      <c r="E14" s="4">
        <f t="shared" si="0"/>
        <v>5.0636838299863152E-3</v>
      </c>
      <c r="H14" s="9" t="s">
        <v>122</v>
      </c>
      <c r="I14">
        <v>8096</v>
      </c>
      <c r="J14" s="11">
        <v>5.0636838299863152E-3</v>
      </c>
    </row>
    <row r="15" spans="2:10" x14ac:dyDescent="0.45">
      <c r="B15" t="s">
        <v>123</v>
      </c>
      <c r="C15" t="s">
        <v>10</v>
      </c>
      <c r="D15">
        <v>7826</v>
      </c>
      <c r="E15" s="4">
        <f t="shared" si="0"/>
        <v>4.8948109749843011E-3</v>
      </c>
      <c r="H15" s="9" t="s">
        <v>123</v>
      </c>
      <c r="I15">
        <v>7826</v>
      </c>
      <c r="J15" s="11">
        <v>4.8948109749843011E-3</v>
      </c>
    </row>
    <row r="16" spans="2:10" x14ac:dyDescent="0.45">
      <c r="B16" t="s">
        <v>124</v>
      </c>
      <c r="C16" t="s">
        <v>10</v>
      </c>
      <c r="D16">
        <v>7817</v>
      </c>
      <c r="E16" s="4">
        <f t="shared" si="0"/>
        <v>4.8891818798175671E-3</v>
      </c>
      <c r="H16" s="9" t="s">
        <v>124</v>
      </c>
      <c r="I16">
        <v>7817</v>
      </c>
      <c r="J16" s="11">
        <v>4.8891818798175671E-3</v>
      </c>
    </row>
    <row r="17" spans="2:18" x14ac:dyDescent="0.45">
      <c r="B17" t="s">
        <v>125</v>
      </c>
      <c r="C17" t="s">
        <v>10</v>
      </c>
      <c r="D17">
        <v>7770</v>
      </c>
      <c r="E17" s="4">
        <f t="shared" si="0"/>
        <v>4.8597854939468462E-3</v>
      </c>
      <c r="H17" s="9" t="s">
        <v>125</v>
      </c>
      <c r="I17">
        <v>7770</v>
      </c>
      <c r="J17" s="11">
        <v>4.8597854939468462E-3</v>
      </c>
    </row>
    <row r="18" spans="2:18" x14ac:dyDescent="0.45">
      <c r="B18" t="s">
        <v>126</v>
      </c>
      <c r="C18" t="s">
        <v>10</v>
      </c>
      <c r="D18">
        <v>7303</v>
      </c>
      <c r="E18" s="4">
        <f t="shared" si="0"/>
        <v>4.5676980002952146E-3</v>
      </c>
      <c r="H18" s="9" t="s">
        <v>126</v>
      </c>
      <c r="I18">
        <v>7303</v>
      </c>
      <c r="J18" s="11">
        <v>4.5676980002952146E-3</v>
      </c>
    </row>
    <row r="19" spans="2:18" x14ac:dyDescent="0.45">
      <c r="B19" t="s">
        <v>127</v>
      </c>
      <c r="C19" t="s">
        <v>10</v>
      </c>
      <c r="D19">
        <v>7216</v>
      </c>
      <c r="E19" s="4">
        <f t="shared" si="0"/>
        <v>4.5132834136834546E-3</v>
      </c>
      <c r="H19" s="9" t="s">
        <v>127</v>
      </c>
      <c r="I19">
        <v>7216</v>
      </c>
      <c r="J19" s="11">
        <v>4.5132834136834546E-3</v>
      </c>
    </row>
    <row r="20" spans="2:18" x14ac:dyDescent="0.45">
      <c r="B20" t="s">
        <v>128</v>
      </c>
      <c r="C20" t="s">
        <v>10</v>
      </c>
      <c r="D20">
        <v>6926</v>
      </c>
      <c r="E20" s="4">
        <f t="shared" si="0"/>
        <v>4.3319014583109213E-3</v>
      </c>
      <c r="H20" s="9" t="s">
        <v>128</v>
      </c>
      <c r="I20">
        <v>6926</v>
      </c>
      <c r="J20" s="11">
        <v>4.3319014583109213E-3</v>
      </c>
    </row>
    <row r="21" spans="2:18" x14ac:dyDescent="0.45">
      <c r="B21" t="s">
        <v>129</v>
      </c>
      <c r="C21" t="s">
        <v>10</v>
      </c>
      <c r="D21">
        <v>6856</v>
      </c>
      <c r="E21" s="4">
        <f t="shared" si="0"/>
        <v>4.288119607014103E-3</v>
      </c>
      <c r="H21" s="9" t="s">
        <v>129</v>
      </c>
      <c r="I21">
        <v>6856</v>
      </c>
      <c r="J21" s="11">
        <v>4.288119607014103E-3</v>
      </c>
    </row>
    <row r="22" spans="2:18" x14ac:dyDescent="0.45">
      <c r="B22" t="s">
        <v>130</v>
      </c>
      <c r="C22" t="s">
        <v>10</v>
      </c>
      <c r="D22">
        <v>6698</v>
      </c>
      <c r="E22" s="4">
        <f t="shared" si="0"/>
        <v>4.1892977140869985E-3</v>
      </c>
      <c r="H22" s="9" t="s">
        <v>130</v>
      </c>
      <c r="I22">
        <v>6698</v>
      </c>
      <c r="J22" s="11">
        <v>4.1892977140869985E-3</v>
      </c>
    </row>
    <row r="23" spans="2:18" x14ac:dyDescent="0.45">
      <c r="B23" t="s">
        <v>131</v>
      </c>
      <c r="C23" t="s">
        <v>10</v>
      </c>
      <c r="D23">
        <v>6602</v>
      </c>
      <c r="E23" s="4">
        <f t="shared" si="0"/>
        <v>4.1292540323085046E-3</v>
      </c>
      <c r="H23" s="9" t="s">
        <v>131</v>
      </c>
      <c r="I23">
        <v>6602</v>
      </c>
      <c r="J23" s="11">
        <v>4.1292540323085046E-3</v>
      </c>
    </row>
    <row r="24" spans="2:18" x14ac:dyDescent="0.45">
      <c r="B24" t="s">
        <v>132</v>
      </c>
      <c r="C24" t="s">
        <v>10</v>
      </c>
      <c r="D24">
        <v>6455</v>
      </c>
      <c r="E24" s="4">
        <f t="shared" si="0"/>
        <v>4.0373121445851853E-3</v>
      </c>
      <c r="H24" s="9" t="s">
        <v>132</v>
      </c>
      <c r="I24">
        <v>6455</v>
      </c>
      <c r="J24" s="11">
        <v>4.0373121445851853E-3</v>
      </c>
    </row>
    <row r="25" spans="2:18" x14ac:dyDescent="0.45">
      <c r="B25" t="s">
        <v>133</v>
      </c>
      <c r="C25" t="s">
        <v>10</v>
      </c>
      <c r="D25">
        <v>6335</v>
      </c>
      <c r="E25" s="4">
        <f t="shared" si="0"/>
        <v>3.9622575423620687E-3</v>
      </c>
      <c r="H25" s="9" t="s">
        <v>133</v>
      </c>
      <c r="I25">
        <v>6335</v>
      </c>
      <c r="J25" s="11">
        <v>3.9622575423620687E-3</v>
      </c>
    </row>
    <row r="26" spans="2:18" x14ac:dyDescent="0.45">
      <c r="B26" t="s">
        <v>134</v>
      </c>
      <c r="C26" t="s">
        <v>10</v>
      </c>
      <c r="D26">
        <v>6196</v>
      </c>
      <c r="E26" s="4">
        <f t="shared" si="0"/>
        <v>3.8753192947869573E-3</v>
      </c>
      <c r="H26" s="9" t="s">
        <v>134</v>
      </c>
      <c r="I26">
        <v>6196</v>
      </c>
      <c r="J26" s="11">
        <v>3.8753192947869573E-3</v>
      </c>
    </row>
    <row r="27" spans="2:18" x14ac:dyDescent="0.45">
      <c r="B27" t="s">
        <v>135</v>
      </c>
      <c r="C27" t="s">
        <v>10</v>
      </c>
      <c r="D27">
        <v>6174</v>
      </c>
      <c r="E27" s="4">
        <f t="shared" si="0"/>
        <v>3.861559284379386E-3</v>
      </c>
      <c r="H27" s="9" t="s">
        <v>135</v>
      </c>
      <c r="I27">
        <v>6174</v>
      </c>
      <c r="J27" s="11">
        <v>3.861559284379386E-3</v>
      </c>
      <c r="M27" t="s">
        <v>58</v>
      </c>
      <c r="N27" t="s">
        <v>0</v>
      </c>
      <c r="O27" t="s">
        <v>2</v>
      </c>
      <c r="P27" t="s">
        <v>1</v>
      </c>
      <c r="Q27" t="s">
        <v>30</v>
      </c>
      <c r="R27" t="s">
        <v>3</v>
      </c>
    </row>
    <row r="28" spans="2:18" x14ac:dyDescent="0.45">
      <c r="B28" t="s">
        <v>136</v>
      </c>
      <c r="C28" t="s">
        <v>10</v>
      </c>
      <c r="D28">
        <v>6099</v>
      </c>
      <c r="E28" s="4">
        <f t="shared" si="0"/>
        <v>3.8146501579899377E-3</v>
      </c>
      <c r="H28" s="9" t="s">
        <v>136</v>
      </c>
      <c r="I28">
        <v>6099</v>
      </c>
      <c r="J28" s="11">
        <v>3.8146501579899377E-3</v>
      </c>
      <c r="L28">
        <v>0</v>
      </c>
      <c r="M28" t="s">
        <v>112</v>
      </c>
      <c r="N28" t="s">
        <v>10</v>
      </c>
      <c r="O28">
        <v>17535</v>
      </c>
      <c r="P28" t="s">
        <v>18</v>
      </c>
      <c r="Q28" t="s">
        <v>31</v>
      </c>
      <c r="R28">
        <v>6</v>
      </c>
    </row>
    <row r="29" spans="2:18" x14ac:dyDescent="0.45">
      <c r="B29" t="s">
        <v>137</v>
      </c>
      <c r="C29" t="s">
        <v>10</v>
      </c>
      <c r="D29">
        <v>6093</v>
      </c>
      <c r="E29" s="4">
        <f t="shared" si="0"/>
        <v>3.8108974278787816E-3</v>
      </c>
      <c r="H29" s="9" t="s">
        <v>137</v>
      </c>
      <c r="I29">
        <v>6093</v>
      </c>
      <c r="J29" s="11">
        <v>3.8108974278787816E-3</v>
      </c>
      <c r="L29">
        <v>1</v>
      </c>
      <c r="M29" t="s">
        <v>113</v>
      </c>
      <c r="N29" t="s">
        <v>10</v>
      </c>
      <c r="O29">
        <v>15581</v>
      </c>
      <c r="P29" t="s">
        <v>9</v>
      </c>
      <c r="Q29" t="s">
        <v>31</v>
      </c>
      <c r="R29">
        <v>4</v>
      </c>
    </row>
    <row r="30" spans="2:18" x14ac:dyDescent="0.45">
      <c r="B30" t="s">
        <v>138</v>
      </c>
      <c r="C30" t="s">
        <v>10</v>
      </c>
      <c r="D30">
        <v>6093</v>
      </c>
      <c r="E30" s="4">
        <f t="shared" si="0"/>
        <v>3.8108974278787816E-3</v>
      </c>
      <c r="H30" s="9" t="s">
        <v>138</v>
      </c>
      <c r="I30">
        <v>6093</v>
      </c>
      <c r="J30" s="11">
        <v>3.8108974278787816E-3</v>
      </c>
      <c r="L30">
        <v>3</v>
      </c>
      <c r="M30" t="s">
        <v>115</v>
      </c>
      <c r="N30" t="s">
        <v>10</v>
      </c>
      <c r="O30">
        <v>13003</v>
      </c>
      <c r="P30" t="s">
        <v>7</v>
      </c>
      <c r="Q30" t="s">
        <v>35</v>
      </c>
      <c r="R30">
        <v>9</v>
      </c>
    </row>
    <row r="31" spans="2:18" x14ac:dyDescent="0.45">
      <c r="B31" t="s">
        <v>139</v>
      </c>
      <c r="C31" t="s">
        <v>10</v>
      </c>
      <c r="D31">
        <v>5569</v>
      </c>
      <c r="E31" s="4">
        <f t="shared" si="0"/>
        <v>3.4831589981711695E-3</v>
      </c>
      <c r="H31" s="9" t="s">
        <v>139</v>
      </c>
      <c r="I31">
        <v>5569</v>
      </c>
      <c r="J31" s="11">
        <v>3.4831589981711695E-3</v>
      </c>
      <c r="L31">
        <v>8</v>
      </c>
      <c r="M31" t="s">
        <v>120</v>
      </c>
      <c r="N31" t="s">
        <v>10</v>
      </c>
      <c r="O31">
        <v>9445</v>
      </c>
      <c r="P31" t="s">
        <v>9</v>
      </c>
      <c r="Q31" t="s">
        <v>44</v>
      </c>
      <c r="R31">
        <v>6</v>
      </c>
    </row>
    <row r="32" spans="2:18" x14ac:dyDescent="0.45">
      <c r="B32" t="s">
        <v>140</v>
      </c>
      <c r="C32" t="s">
        <v>10</v>
      </c>
      <c r="D32">
        <v>5562</v>
      </c>
      <c r="E32" s="4">
        <f t="shared" si="0"/>
        <v>3.4787808130414878E-3</v>
      </c>
      <c r="H32" s="9" t="s">
        <v>140</v>
      </c>
      <c r="I32">
        <v>5562</v>
      </c>
      <c r="J32" s="11">
        <v>3.4787808130414878E-3</v>
      </c>
      <c r="L32">
        <v>15</v>
      </c>
      <c r="M32" t="s">
        <v>127</v>
      </c>
      <c r="N32" t="s">
        <v>10</v>
      </c>
      <c r="O32">
        <v>7216</v>
      </c>
      <c r="P32" t="s">
        <v>9</v>
      </c>
      <c r="Q32" t="s">
        <v>38</v>
      </c>
      <c r="R32">
        <v>9</v>
      </c>
    </row>
    <row r="33" spans="2:18" x14ac:dyDescent="0.45">
      <c r="B33" t="s">
        <v>141</v>
      </c>
      <c r="C33" t="s">
        <v>10</v>
      </c>
      <c r="D33">
        <v>5550</v>
      </c>
      <c r="E33" s="4">
        <f t="shared" si="0"/>
        <v>3.471275352819176E-3</v>
      </c>
      <c r="H33" s="9" t="s">
        <v>141</v>
      </c>
      <c r="I33">
        <v>5550</v>
      </c>
      <c r="J33" s="11">
        <v>3.471275352819176E-3</v>
      </c>
      <c r="L33">
        <v>17</v>
      </c>
      <c r="M33" t="s">
        <v>129</v>
      </c>
      <c r="N33" t="s">
        <v>10</v>
      </c>
      <c r="O33">
        <v>6856</v>
      </c>
      <c r="P33" t="s">
        <v>9</v>
      </c>
      <c r="Q33" t="s">
        <v>55</v>
      </c>
      <c r="R33">
        <v>5</v>
      </c>
    </row>
    <row r="34" spans="2:18" x14ac:dyDescent="0.45">
      <c r="B34" t="s">
        <v>142</v>
      </c>
      <c r="C34" t="s">
        <v>10</v>
      </c>
      <c r="D34">
        <v>5457</v>
      </c>
      <c r="E34" s="4">
        <f t="shared" si="0"/>
        <v>3.4131080360962599E-3</v>
      </c>
      <c r="H34" s="9" t="s">
        <v>142</v>
      </c>
      <c r="I34">
        <v>5457</v>
      </c>
      <c r="J34" s="11">
        <v>3.4131080360962599E-3</v>
      </c>
      <c r="L34">
        <v>18</v>
      </c>
      <c r="M34" t="s">
        <v>130</v>
      </c>
      <c r="N34" t="s">
        <v>10</v>
      </c>
      <c r="O34">
        <v>6698</v>
      </c>
      <c r="P34" t="s">
        <v>5</v>
      </c>
      <c r="Q34" t="s">
        <v>55</v>
      </c>
      <c r="R34">
        <v>5</v>
      </c>
    </row>
    <row r="35" spans="2:18" x14ac:dyDescent="0.45">
      <c r="B35" t="s">
        <v>143</v>
      </c>
      <c r="C35" t="s">
        <v>10</v>
      </c>
      <c r="D35">
        <v>5331</v>
      </c>
      <c r="E35" s="4">
        <f t="shared" si="0"/>
        <v>3.3343007037619867E-3</v>
      </c>
      <c r="H35" s="9" t="s">
        <v>143</v>
      </c>
      <c r="I35">
        <v>5331</v>
      </c>
      <c r="J35" s="11">
        <v>3.3343007037619867E-3</v>
      </c>
      <c r="L35">
        <v>22</v>
      </c>
      <c r="M35" t="s">
        <v>134</v>
      </c>
      <c r="N35" t="s">
        <v>10</v>
      </c>
      <c r="O35">
        <v>6196</v>
      </c>
      <c r="P35" t="s">
        <v>4</v>
      </c>
      <c r="Q35" t="s">
        <v>44</v>
      </c>
      <c r="R35">
        <v>7</v>
      </c>
    </row>
    <row r="36" spans="2:18" x14ac:dyDescent="0.45">
      <c r="B36" t="s">
        <v>144</v>
      </c>
      <c r="C36" t="s">
        <v>10</v>
      </c>
      <c r="D36">
        <v>5309</v>
      </c>
      <c r="E36" s="4">
        <f t="shared" si="0"/>
        <v>3.3205406933544154E-3</v>
      </c>
      <c r="H36" s="9" t="s">
        <v>144</v>
      </c>
      <c r="I36">
        <v>5309</v>
      </c>
      <c r="J36" s="11">
        <v>3.3205406933544154E-3</v>
      </c>
      <c r="L36">
        <v>24</v>
      </c>
      <c r="M36" t="s">
        <v>136</v>
      </c>
      <c r="N36" t="s">
        <v>10</v>
      </c>
      <c r="O36">
        <v>6099</v>
      </c>
      <c r="P36" t="s">
        <v>19</v>
      </c>
      <c r="Q36" t="s">
        <v>35</v>
      </c>
      <c r="R36">
        <v>8</v>
      </c>
    </row>
    <row r="37" spans="2:18" x14ac:dyDescent="0.45">
      <c r="B37" t="s">
        <v>145</v>
      </c>
      <c r="C37" t="s">
        <v>10</v>
      </c>
      <c r="D37">
        <v>5249</v>
      </c>
      <c r="E37" s="4">
        <f t="shared" si="0"/>
        <v>3.2830133922428567E-3</v>
      </c>
      <c r="H37" s="9" t="s">
        <v>145</v>
      </c>
      <c r="I37">
        <v>5249</v>
      </c>
      <c r="J37" s="11">
        <v>3.2830133922428567E-3</v>
      </c>
      <c r="L37">
        <v>38</v>
      </c>
      <c r="M37" t="s">
        <v>150</v>
      </c>
      <c r="N37" t="s">
        <v>10</v>
      </c>
      <c r="O37">
        <v>4910</v>
      </c>
      <c r="P37" t="s">
        <v>12</v>
      </c>
      <c r="Q37" t="s">
        <v>38</v>
      </c>
      <c r="R37">
        <v>6</v>
      </c>
    </row>
    <row r="38" spans="2:18" x14ac:dyDescent="0.45">
      <c r="B38" t="s">
        <v>146</v>
      </c>
      <c r="C38" t="s">
        <v>10</v>
      </c>
      <c r="D38">
        <v>5195</v>
      </c>
      <c r="E38" s="4">
        <f t="shared" si="0"/>
        <v>3.249238821242454E-3</v>
      </c>
      <c r="H38" s="9" t="s">
        <v>146</v>
      </c>
      <c r="I38">
        <v>5195</v>
      </c>
      <c r="J38" s="11">
        <v>3.249238821242454E-3</v>
      </c>
      <c r="L38">
        <v>51</v>
      </c>
      <c r="M38" t="s">
        <v>174</v>
      </c>
      <c r="N38" t="s">
        <v>10</v>
      </c>
      <c r="O38">
        <v>4066</v>
      </c>
      <c r="P38" t="s">
        <v>17</v>
      </c>
      <c r="Q38" t="s">
        <v>39</v>
      </c>
      <c r="R38">
        <v>5</v>
      </c>
    </row>
    <row r="39" spans="2:18" x14ac:dyDescent="0.45">
      <c r="B39" t="s">
        <v>147</v>
      </c>
      <c r="C39" t="s">
        <v>10</v>
      </c>
      <c r="D39">
        <v>5184</v>
      </c>
      <c r="E39" s="4">
        <f t="shared" si="0"/>
        <v>3.2423588160386679E-3</v>
      </c>
      <c r="H39" s="9" t="s">
        <v>147</v>
      </c>
      <c r="I39">
        <v>5184</v>
      </c>
      <c r="J39" s="11">
        <v>3.2423588160386679E-3</v>
      </c>
      <c r="L39">
        <v>91</v>
      </c>
      <c r="M39" t="s">
        <v>175</v>
      </c>
      <c r="N39" t="s">
        <v>10</v>
      </c>
      <c r="O39">
        <v>2860</v>
      </c>
      <c r="P39" t="s">
        <v>16</v>
      </c>
      <c r="Q39" t="s">
        <v>39</v>
      </c>
      <c r="R39">
        <v>7</v>
      </c>
    </row>
    <row r="40" spans="2:18" x14ac:dyDescent="0.45">
      <c r="B40" t="s">
        <v>148</v>
      </c>
      <c r="C40" t="s">
        <v>10</v>
      </c>
      <c r="D40">
        <v>5075</v>
      </c>
      <c r="E40" s="4">
        <f t="shared" si="0"/>
        <v>3.1741842190193366E-3</v>
      </c>
      <c r="H40" s="9" t="s">
        <v>148</v>
      </c>
      <c r="I40">
        <v>5075</v>
      </c>
      <c r="J40" s="11">
        <v>3.1741842190193366E-3</v>
      </c>
    </row>
    <row r="41" spans="2:18" x14ac:dyDescent="0.45">
      <c r="B41" t="s">
        <v>149</v>
      </c>
      <c r="C41" t="s">
        <v>10</v>
      </c>
      <c r="D41">
        <v>4940</v>
      </c>
      <c r="E41" s="4">
        <f t="shared" si="0"/>
        <v>3.0897477915183295E-3</v>
      </c>
      <c r="H41" s="9" t="s">
        <v>149</v>
      </c>
      <c r="I41">
        <v>4940</v>
      </c>
      <c r="J41" s="11">
        <v>3.0897477915183295E-3</v>
      </c>
    </row>
    <row r="42" spans="2:18" x14ac:dyDescent="0.45">
      <c r="B42" t="s">
        <v>150</v>
      </c>
      <c r="C42" t="s">
        <v>10</v>
      </c>
      <c r="D42">
        <v>4910</v>
      </c>
      <c r="E42" s="4">
        <f t="shared" si="0"/>
        <v>3.0709841409625504E-3</v>
      </c>
      <c r="H42" s="9" t="s">
        <v>150</v>
      </c>
      <c r="I42">
        <v>4910</v>
      </c>
      <c r="J42" s="11">
        <v>3.0709841409625504E-3</v>
      </c>
    </row>
    <row r="43" spans="2:18" x14ac:dyDescent="0.45">
      <c r="B43" t="s">
        <v>151</v>
      </c>
      <c r="C43" t="s">
        <v>10</v>
      </c>
      <c r="D43">
        <v>4750</v>
      </c>
      <c r="E43" s="4">
        <f t="shared" si="0"/>
        <v>2.9709113379983937E-3</v>
      </c>
      <c r="H43" s="9" t="s">
        <v>151</v>
      </c>
      <c r="I43">
        <v>4750</v>
      </c>
      <c r="J43" s="11">
        <v>2.9709113379983937E-3</v>
      </c>
    </row>
    <row r="44" spans="2:18" x14ac:dyDescent="0.45">
      <c r="B44" t="s">
        <v>152</v>
      </c>
      <c r="C44" t="s">
        <v>10</v>
      </c>
      <c r="D44">
        <v>4725</v>
      </c>
      <c r="E44" s="4">
        <f t="shared" si="0"/>
        <v>2.9552749625352446E-3</v>
      </c>
      <c r="H44" s="9" t="s">
        <v>152</v>
      </c>
      <c r="I44">
        <v>4725</v>
      </c>
      <c r="J44" s="11">
        <v>2.9552749625352446E-3</v>
      </c>
    </row>
    <row r="45" spans="2:18" x14ac:dyDescent="0.45">
      <c r="B45" t="s">
        <v>153</v>
      </c>
      <c r="C45" t="s">
        <v>10</v>
      </c>
      <c r="D45">
        <v>4624</v>
      </c>
      <c r="E45" s="4">
        <f t="shared" si="0"/>
        <v>2.8921040056641206E-3</v>
      </c>
      <c r="H45" s="9" t="s">
        <v>153</v>
      </c>
      <c r="I45">
        <v>4624</v>
      </c>
      <c r="J45" s="11">
        <v>2.8921040056641206E-3</v>
      </c>
    </row>
    <row r="46" spans="2:18" x14ac:dyDescent="0.45">
      <c r="B46" t="s">
        <v>154</v>
      </c>
      <c r="C46" t="s">
        <v>10</v>
      </c>
      <c r="D46">
        <v>4590</v>
      </c>
      <c r="E46" s="4">
        <f t="shared" si="0"/>
        <v>2.8708385350342375E-3</v>
      </c>
      <c r="H46" s="9" t="s">
        <v>154</v>
      </c>
      <c r="I46">
        <v>4590</v>
      </c>
      <c r="J46" s="11">
        <v>2.8708385350342375E-3</v>
      </c>
    </row>
    <row r="47" spans="2:18" x14ac:dyDescent="0.45">
      <c r="B47" t="s">
        <v>155</v>
      </c>
      <c r="C47" t="s">
        <v>10</v>
      </c>
      <c r="D47">
        <v>4538</v>
      </c>
      <c r="E47" s="4">
        <f t="shared" si="0"/>
        <v>2.8383148740708866E-3</v>
      </c>
      <c r="H47" s="9" t="s">
        <v>155</v>
      </c>
      <c r="I47">
        <v>4538</v>
      </c>
      <c r="J47" s="11">
        <v>2.8383148740708866E-3</v>
      </c>
    </row>
    <row r="48" spans="2:18" x14ac:dyDescent="0.45">
      <c r="B48" t="s">
        <v>156</v>
      </c>
      <c r="C48" t="s">
        <v>10</v>
      </c>
      <c r="D48">
        <v>4482</v>
      </c>
      <c r="E48" s="4">
        <f t="shared" si="0"/>
        <v>2.8032893930334318E-3</v>
      </c>
      <c r="H48" s="9" t="s">
        <v>156</v>
      </c>
      <c r="I48">
        <v>4482</v>
      </c>
      <c r="J48" s="11">
        <v>2.8032893930334318E-3</v>
      </c>
    </row>
    <row r="49" spans="2:10" x14ac:dyDescent="0.45">
      <c r="B49" t="s">
        <v>157</v>
      </c>
      <c r="C49" t="s">
        <v>10</v>
      </c>
      <c r="D49">
        <v>4468</v>
      </c>
      <c r="E49" s="4">
        <f t="shared" si="0"/>
        <v>2.7945330227740683E-3</v>
      </c>
      <c r="H49" s="9" t="s">
        <v>157</v>
      </c>
      <c r="I49">
        <v>4468</v>
      </c>
      <c r="J49" s="11">
        <v>2.7945330227740683E-3</v>
      </c>
    </row>
    <row r="50" spans="2:10" x14ac:dyDescent="0.45">
      <c r="B50" t="s">
        <v>158</v>
      </c>
      <c r="C50" t="s">
        <v>10</v>
      </c>
      <c r="D50">
        <v>4467</v>
      </c>
      <c r="E50" s="4">
        <f t="shared" si="0"/>
        <v>2.7939075677555422E-3</v>
      </c>
      <c r="H50" s="9" t="s">
        <v>158</v>
      </c>
      <c r="I50">
        <v>4467</v>
      </c>
      <c r="J50" s="11">
        <v>2.7939075677555422E-3</v>
      </c>
    </row>
    <row r="51" spans="2:10" x14ac:dyDescent="0.45">
      <c r="B51" t="s">
        <v>159</v>
      </c>
      <c r="C51" t="s">
        <v>10</v>
      </c>
      <c r="D51">
        <v>4345</v>
      </c>
      <c r="E51" s="4">
        <f t="shared" si="0"/>
        <v>2.717602055495373E-3</v>
      </c>
      <c r="H51" s="9" t="s">
        <v>159</v>
      </c>
      <c r="I51">
        <v>4345</v>
      </c>
      <c r="J51" s="11">
        <v>2.717602055495373E-3</v>
      </c>
    </row>
    <row r="52" spans="2:10" x14ac:dyDescent="0.45">
      <c r="B52" t="s">
        <v>160</v>
      </c>
      <c r="C52" t="s">
        <v>10</v>
      </c>
      <c r="D52">
        <v>4339</v>
      </c>
      <c r="E52" s="4">
        <f t="shared" si="0"/>
        <v>2.7138493253842169E-3</v>
      </c>
      <c r="H52" s="9" t="s">
        <v>160</v>
      </c>
      <c r="I52">
        <v>4339</v>
      </c>
      <c r="J52" s="11">
        <v>2.7138493253842169E-3</v>
      </c>
    </row>
    <row r="53" spans="2:10" x14ac:dyDescent="0.45">
      <c r="B53" t="s">
        <v>161</v>
      </c>
      <c r="C53" t="s">
        <v>10</v>
      </c>
      <c r="D53">
        <v>4333</v>
      </c>
      <c r="E53" s="4">
        <f t="shared" si="0"/>
        <v>2.7100965952730613E-3</v>
      </c>
      <c r="H53" s="9" t="s">
        <v>161</v>
      </c>
      <c r="I53">
        <v>4333</v>
      </c>
      <c r="J53" s="11">
        <v>2.7100965952730613E-3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1FE1-63B1-4032-B51C-C2ED5464C168}">
  <dimension ref="B2:J53"/>
  <sheetViews>
    <sheetView topLeftCell="A31" workbookViewId="0"/>
  </sheetViews>
  <sheetFormatPr defaultRowHeight="14.25" x14ac:dyDescent="0.45"/>
  <cols>
    <col min="4" max="4" width="11.33203125" bestFit="1" customWidth="1"/>
  </cols>
  <sheetData>
    <row r="2" spans="2:10" x14ac:dyDescent="0.45">
      <c r="C2" s="10" t="s">
        <v>110</v>
      </c>
      <c r="D2" s="10">
        <f>Sheet1!C1</f>
        <v>1706423</v>
      </c>
    </row>
    <row r="3" spans="2:10" x14ac:dyDescent="0.45">
      <c r="B3" s="8" t="s">
        <v>58</v>
      </c>
      <c r="C3" s="8" t="s">
        <v>0</v>
      </c>
      <c r="D3" s="1" t="s">
        <v>2</v>
      </c>
      <c r="E3" s="1" t="s">
        <v>57</v>
      </c>
      <c r="H3" s="8" t="s">
        <v>58</v>
      </c>
      <c r="I3" s="1" t="s">
        <v>109</v>
      </c>
      <c r="J3" s="2" t="s">
        <v>111</v>
      </c>
    </row>
    <row r="4" spans="2:10" x14ac:dyDescent="0.45">
      <c r="B4" s="9" t="s">
        <v>59</v>
      </c>
      <c r="C4" t="s">
        <v>4</v>
      </c>
      <c r="D4">
        <v>19659</v>
      </c>
      <c r="E4" s="4">
        <f>D4/$D$2</f>
        <v>1.1520590146757281E-2</v>
      </c>
      <c r="H4" s="9" t="s">
        <v>59</v>
      </c>
      <c r="I4">
        <v>19659</v>
      </c>
      <c r="J4" s="11">
        <v>1.1520590146757281E-2</v>
      </c>
    </row>
    <row r="5" spans="2:10" x14ac:dyDescent="0.45">
      <c r="B5" s="9" t="s">
        <v>60</v>
      </c>
      <c r="C5" t="s">
        <v>4</v>
      </c>
      <c r="D5">
        <v>18252</v>
      </c>
      <c r="E5" s="4">
        <f t="shared" ref="E5:E53" si="0">D5/$D$2</f>
        <v>1.0696058363020188E-2</v>
      </c>
      <c r="H5" s="9" t="s">
        <v>60</v>
      </c>
      <c r="I5">
        <v>18252</v>
      </c>
      <c r="J5" s="11">
        <v>1.0696058363020188E-2</v>
      </c>
    </row>
    <row r="6" spans="2:10" x14ac:dyDescent="0.45">
      <c r="B6" s="9" t="s">
        <v>61</v>
      </c>
      <c r="C6" t="s">
        <v>4</v>
      </c>
      <c r="D6">
        <v>14147</v>
      </c>
      <c r="E6" s="4">
        <f t="shared" si="0"/>
        <v>8.2904414673266834E-3</v>
      </c>
      <c r="H6" s="9" t="s">
        <v>61</v>
      </c>
      <c r="I6">
        <v>14147</v>
      </c>
      <c r="J6" s="11">
        <v>8.2904414673266834E-3</v>
      </c>
    </row>
    <row r="7" spans="2:10" x14ac:dyDescent="0.45">
      <c r="B7" s="9" t="s">
        <v>62</v>
      </c>
      <c r="C7" t="s">
        <v>4</v>
      </c>
      <c r="D7">
        <v>13034</v>
      </c>
      <c r="E7" s="4">
        <f t="shared" si="0"/>
        <v>7.6381999070570424E-3</v>
      </c>
      <c r="H7" s="9" t="s">
        <v>62</v>
      </c>
      <c r="I7">
        <v>13034</v>
      </c>
      <c r="J7" s="11">
        <v>7.6381999070570424E-3</v>
      </c>
    </row>
    <row r="8" spans="2:10" x14ac:dyDescent="0.45">
      <c r="B8" s="9" t="s">
        <v>63</v>
      </c>
      <c r="C8" t="s">
        <v>4</v>
      </c>
      <c r="D8">
        <v>12541</v>
      </c>
      <c r="E8" s="4">
        <f t="shared" si="0"/>
        <v>7.3492914711065192E-3</v>
      </c>
      <c r="H8" s="9" t="s">
        <v>63</v>
      </c>
      <c r="I8">
        <v>12541</v>
      </c>
      <c r="J8" s="11">
        <v>7.3492914711065192E-3</v>
      </c>
    </row>
    <row r="9" spans="2:10" x14ac:dyDescent="0.45">
      <c r="B9" s="9" t="s">
        <v>64</v>
      </c>
      <c r="C9" t="s">
        <v>4</v>
      </c>
      <c r="D9">
        <v>12250</v>
      </c>
      <c r="E9" s="4">
        <f t="shared" si="0"/>
        <v>7.1787593111438371E-3</v>
      </c>
      <c r="H9" s="9" t="s">
        <v>64</v>
      </c>
      <c r="I9">
        <v>12250</v>
      </c>
      <c r="J9" s="11">
        <v>7.1787593111438371E-3</v>
      </c>
    </row>
    <row r="10" spans="2:10" x14ac:dyDescent="0.45">
      <c r="B10" s="9" t="s">
        <v>65</v>
      </c>
      <c r="C10" t="s">
        <v>4</v>
      </c>
      <c r="D10">
        <v>12136</v>
      </c>
      <c r="E10" s="4">
        <f t="shared" si="0"/>
        <v>7.1119528979625805E-3</v>
      </c>
      <c r="H10" s="9" t="s">
        <v>65</v>
      </c>
      <c r="I10">
        <v>12136</v>
      </c>
      <c r="J10" s="11">
        <v>7.1119528979625805E-3</v>
      </c>
    </row>
    <row r="11" spans="2:10" x14ac:dyDescent="0.45">
      <c r="B11" s="9" t="s">
        <v>66</v>
      </c>
      <c r="C11" t="s">
        <v>4</v>
      </c>
      <c r="D11">
        <v>11281</v>
      </c>
      <c r="E11" s="4">
        <f t="shared" si="0"/>
        <v>6.6109047991031534E-3</v>
      </c>
      <c r="H11" s="9" t="s">
        <v>66</v>
      </c>
      <c r="I11">
        <v>11281</v>
      </c>
      <c r="J11" s="11">
        <v>6.6109047991031534E-3</v>
      </c>
    </row>
    <row r="12" spans="2:10" x14ac:dyDescent="0.45">
      <c r="B12" s="9" t="s">
        <v>67</v>
      </c>
      <c r="C12" t="s">
        <v>4</v>
      </c>
      <c r="D12">
        <v>10705</v>
      </c>
      <c r="E12" s="4">
        <f t="shared" si="0"/>
        <v>6.2733566061873285E-3</v>
      </c>
      <c r="H12" s="9" t="s">
        <v>67</v>
      </c>
      <c r="I12">
        <v>10705</v>
      </c>
      <c r="J12" s="11">
        <v>6.2733566061873285E-3</v>
      </c>
    </row>
    <row r="13" spans="2:10" x14ac:dyDescent="0.45">
      <c r="B13" s="9" t="s">
        <v>68</v>
      </c>
      <c r="C13" t="s">
        <v>4</v>
      </c>
      <c r="D13">
        <v>10151</v>
      </c>
      <c r="E13" s="4">
        <f t="shared" si="0"/>
        <v>5.9487008789731507E-3</v>
      </c>
      <c r="H13" s="9" t="s">
        <v>68</v>
      </c>
      <c r="I13">
        <v>10151</v>
      </c>
      <c r="J13" s="11">
        <v>5.9487008789731507E-3</v>
      </c>
    </row>
    <row r="14" spans="2:10" x14ac:dyDescent="0.45">
      <c r="B14" s="9" t="s">
        <v>69</v>
      </c>
      <c r="C14" t="s">
        <v>4</v>
      </c>
      <c r="D14">
        <v>10029</v>
      </c>
      <c r="E14" s="4">
        <f t="shared" si="0"/>
        <v>5.8772062964458404E-3</v>
      </c>
      <c r="H14" s="9" t="s">
        <v>69</v>
      </c>
      <c r="I14">
        <v>10029</v>
      </c>
      <c r="J14" s="11">
        <v>5.8772062964458404E-3</v>
      </c>
    </row>
    <row r="15" spans="2:10" x14ac:dyDescent="0.45">
      <c r="B15" s="9" t="s">
        <v>70</v>
      </c>
      <c r="C15" t="s">
        <v>4</v>
      </c>
      <c r="D15">
        <v>9717</v>
      </c>
      <c r="E15" s="4">
        <f t="shared" si="0"/>
        <v>5.6943676919497688E-3</v>
      </c>
      <c r="H15" s="9" t="s">
        <v>70</v>
      </c>
      <c r="I15">
        <v>9717</v>
      </c>
      <c r="J15" s="11">
        <v>5.6943676919497688E-3</v>
      </c>
    </row>
    <row r="16" spans="2:10" x14ac:dyDescent="0.45">
      <c r="B16" s="9" t="s">
        <v>71</v>
      </c>
      <c r="C16" t="s">
        <v>4</v>
      </c>
      <c r="D16">
        <v>9464</v>
      </c>
      <c r="E16" s="4">
        <f t="shared" si="0"/>
        <v>5.5461043363808386E-3</v>
      </c>
      <c r="H16" s="9" t="s">
        <v>71</v>
      </c>
      <c r="I16">
        <v>9464</v>
      </c>
      <c r="J16" s="11">
        <v>5.5461043363808386E-3</v>
      </c>
    </row>
    <row r="17" spans="2:10" x14ac:dyDescent="0.45">
      <c r="B17" s="9" t="s">
        <v>72</v>
      </c>
      <c r="C17" t="s">
        <v>4</v>
      </c>
      <c r="D17">
        <v>9419</v>
      </c>
      <c r="E17" s="4">
        <f t="shared" si="0"/>
        <v>5.5197333838092897E-3</v>
      </c>
      <c r="H17" s="9" t="s">
        <v>72</v>
      </c>
      <c r="I17">
        <v>9419</v>
      </c>
      <c r="J17" s="11">
        <v>5.5197333838092897E-3</v>
      </c>
    </row>
    <row r="18" spans="2:10" x14ac:dyDescent="0.45">
      <c r="B18" s="9" t="s">
        <v>73</v>
      </c>
      <c r="C18" t="s">
        <v>4</v>
      </c>
      <c r="D18">
        <v>9196</v>
      </c>
      <c r="E18" s="4">
        <f t="shared" si="0"/>
        <v>5.3890506632880593E-3</v>
      </c>
      <c r="H18" s="9" t="s">
        <v>73</v>
      </c>
      <c r="I18">
        <v>9196</v>
      </c>
      <c r="J18" s="11">
        <v>5.3890506632880593E-3</v>
      </c>
    </row>
    <row r="19" spans="2:10" x14ac:dyDescent="0.45">
      <c r="B19" s="9" t="s">
        <v>74</v>
      </c>
      <c r="C19" t="s">
        <v>4</v>
      </c>
      <c r="D19">
        <v>9086</v>
      </c>
      <c r="E19" s="4">
        <f t="shared" si="0"/>
        <v>5.3245883347798287E-3</v>
      </c>
      <c r="H19" s="9" t="s">
        <v>74</v>
      </c>
      <c r="I19">
        <v>9086</v>
      </c>
      <c r="J19" s="11">
        <v>5.3245883347798287E-3</v>
      </c>
    </row>
    <row r="20" spans="2:10" x14ac:dyDescent="0.45">
      <c r="B20" s="9" t="s">
        <v>75</v>
      </c>
      <c r="C20" t="s">
        <v>4</v>
      </c>
      <c r="D20">
        <v>9051</v>
      </c>
      <c r="E20" s="4">
        <f t="shared" si="0"/>
        <v>5.3040775938908461E-3</v>
      </c>
      <c r="H20" s="9" t="s">
        <v>75</v>
      </c>
      <c r="I20">
        <v>9051</v>
      </c>
      <c r="J20" s="11">
        <v>5.3040775938908461E-3</v>
      </c>
    </row>
    <row r="21" spans="2:10" x14ac:dyDescent="0.45">
      <c r="B21" s="9" t="s">
        <v>76</v>
      </c>
      <c r="C21" t="s">
        <v>4</v>
      </c>
      <c r="D21">
        <v>9005</v>
      </c>
      <c r="E21" s="4">
        <f t="shared" si="0"/>
        <v>5.2771206201510414E-3</v>
      </c>
      <c r="H21" s="9" t="s">
        <v>76</v>
      </c>
      <c r="I21">
        <v>9005</v>
      </c>
      <c r="J21" s="11">
        <v>5.2771206201510414E-3</v>
      </c>
    </row>
    <row r="22" spans="2:10" x14ac:dyDescent="0.45">
      <c r="B22" s="9" t="s">
        <v>77</v>
      </c>
      <c r="C22" t="s">
        <v>4</v>
      </c>
      <c r="D22">
        <v>8927</v>
      </c>
      <c r="E22" s="4">
        <f t="shared" si="0"/>
        <v>5.2314109690270233E-3</v>
      </c>
      <c r="H22" s="9" t="s">
        <v>77</v>
      </c>
      <c r="I22">
        <v>8927</v>
      </c>
      <c r="J22" s="11">
        <v>5.2314109690270233E-3</v>
      </c>
    </row>
    <row r="23" spans="2:10" x14ac:dyDescent="0.45">
      <c r="B23" s="9" t="s">
        <v>78</v>
      </c>
      <c r="C23" t="s">
        <v>4</v>
      </c>
      <c r="D23">
        <v>8900</v>
      </c>
      <c r="E23" s="4">
        <f t="shared" si="0"/>
        <v>5.2155883974840936E-3</v>
      </c>
      <c r="H23" s="9" t="s">
        <v>78</v>
      </c>
      <c r="I23">
        <v>8900</v>
      </c>
      <c r="J23" s="11">
        <v>5.2155883974840936E-3</v>
      </c>
    </row>
    <row r="24" spans="2:10" x14ac:dyDescent="0.45">
      <c r="B24" s="9" t="s">
        <v>79</v>
      </c>
      <c r="C24" t="s">
        <v>4</v>
      </c>
      <c r="D24">
        <v>8876</v>
      </c>
      <c r="E24" s="4">
        <f t="shared" si="0"/>
        <v>5.2015238894459349E-3</v>
      </c>
      <c r="H24" s="9" t="s">
        <v>79</v>
      </c>
      <c r="I24">
        <v>8876</v>
      </c>
      <c r="J24" s="11">
        <v>5.2015238894459349E-3</v>
      </c>
    </row>
    <row r="25" spans="2:10" x14ac:dyDescent="0.45">
      <c r="B25" s="9" t="s">
        <v>80</v>
      </c>
      <c r="C25" t="s">
        <v>4</v>
      </c>
      <c r="D25">
        <v>8623</v>
      </c>
      <c r="E25" s="4">
        <f t="shared" si="0"/>
        <v>5.0532605338770046E-3</v>
      </c>
      <c r="H25" s="9" t="s">
        <v>80</v>
      </c>
      <c r="I25">
        <v>8623</v>
      </c>
      <c r="J25" s="11">
        <v>5.0532605338770046E-3</v>
      </c>
    </row>
    <row r="26" spans="2:10" x14ac:dyDescent="0.45">
      <c r="B26" s="9" t="s">
        <v>81</v>
      </c>
      <c r="C26" t="s">
        <v>4</v>
      </c>
      <c r="D26">
        <v>8558</v>
      </c>
      <c r="E26" s="4">
        <f t="shared" si="0"/>
        <v>5.015169157940323E-3</v>
      </c>
      <c r="H26" s="9" t="s">
        <v>81</v>
      </c>
      <c r="I26">
        <v>8558</v>
      </c>
      <c r="J26" s="11">
        <v>5.015169157940323E-3</v>
      </c>
    </row>
    <row r="27" spans="2:10" x14ac:dyDescent="0.45">
      <c r="B27" s="9" t="s">
        <v>82</v>
      </c>
      <c r="C27" t="s">
        <v>4</v>
      </c>
      <c r="D27">
        <v>8534</v>
      </c>
      <c r="E27" s="4">
        <f t="shared" si="0"/>
        <v>5.0011046499021635E-3</v>
      </c>
      <c r="H27" s="9" t="s">
        <v>82</v>
      </c>
      <c r="I27">
        <v>8534</v>
      </c>
      <c r="J27" s="11">
        <v>5.0011046499021635E-3</v>
      </c>
    </row>
    <row r="28" spans="2:10" x14ac:dyDescent="0.45">
      <c r="B28" s="9" t="s">
        <v>83</v>
      </c>
      <c r="C28" t="s">
        <v>4</v>
      </c>
      <c r="D28">
        <v>8488</v>
      </c>
      <c r="E28" s="4">
        <f t="shared" si="0"/>
        <v>4.9741476761623587E-3</v>
      </c>
      <c r="H28" s="9" t="s">
        <v>83</v>
      </c>
      <c r="I28">
        <v>8488</v>
      </c>
      <c r="J28" s="11">
        <v>4.9741476761623587E-3</v>
      </c>
    </row>
    <row r="29" spans="2:10" x14ac:dyDescent="0.45">
      <c r="B29" s="9" t="s">
        <v>84</v>
      </c>
      <c r="C29" t="s">
        <v>4</v>
      </c>
      <c r="D29">
        <v>8349</v>
      </c>
      <c r="E29" s="4">
        <f t="shared" si="0"/>
        <v>4.892690733774685E-3</v>
      </c>
      <c r="H29" s="9" t="s">
        <v>84</v>
      </c>
      <c r="I29">
        <v>8349</v>
      </c>
      <c r="J29" s="11">
        <v>4.892690733774685E-3</v>
      </c>
    </row>
    <row r="30" spans="2:10" x14ac:dyDescent="0.45">
      <c r="B30" s="9" t="s">
        <v>85</v>
      </c>
      <c r="C30" t="s">
        <v>4</v>
      </c>
      <c r="D30">
        <v>8180</v>
      </c>
      <c r="E30" s="4">
        <f t="shared" si="0"/>
        <v>4.7936531563393132E-3</v>
      </c>
      <c r="H30" s="9" t="s">
        <v>85</v>
      </c>
      <c r="I30">
        <v>8180</v>
      </c>
      <c r="J30" s="11">
        <v>4.7936531563393132E-3</v>
      </c>
    </row>
    <row r="31" spans="2:10" x14ac:dyDescent="0.45">
      <c r="B31" s="9" t="s">
        <v>86</v>
      </c>
      <c r="C31" t="s">
        <v>4</v>
      </c>
      <c r="D31">
        <v>8153</v>
      </c>
      <c r="E31" s="4">
        <f t="shared" si="0"/>
        <v>4.7778305847963843E-3</v>
      </c>
      <c r="H31" s="9" t="s">
        <v>86</v>
      </c>
      <c r="I31">
        <v>8153</v>
      </c>
      <c r="J31" s="11">
        <v>4.7778305847963843E-3</v>
      </c>
    </row>
    <row r="32" spans="2:10" x14ac:dyDescent="0.45">
      <c r="B32" s="9" t="s">
        <v>87</v>
      </c>
      <c r="C32" t="s">
        <v>4</v>
      </c>
      <c r="D32">
        <v>8135</v>
      </c>
      <c r="E32" s="4">
        <f t="shared" si="0"/>
        <v>4.7672822037677642E-3</v>
      </c>
      <c r="H32" s="9" t="s">
        <v>87</v>
      </c>
      <c r="I32">
        <v>8135</v>
      </c>
      <c r="J32" s="11">
        <v>4.7672822037677642E-3</v>
      </c>
    </row>
    <row r="33" spans="2:10" x14ac:dyDescent="0.45">
      <c r="B33" s="9" t="s">
        <v>88</v>
      </c>
      <c r="C33" t="s">
        <v>4</v>
      </c>
      <c r="D33">
        <v>8052</v>
      </c>
      <c r="E33" s="4">
        <f t="shared" si="0"/>
        <v>4.7186424468024634E-3</v>
      </c>
      <c r="H33" s="9" t="s">
        <v>88</v>
      </c>
      <c r="I33">
        <v>8052</v>
      </c>
      <c r="J33" s="11">
        <v>4.7186424468024634E-3</v>
      </c>
    </row>
    <row r="34" spans="2:10" x14ac:dyDescent="0.45">
      <c r="B34" s="9" t="s">
        <v>89</v>
      </c>
      <c r="C34" t="s">
        <v>4</v>
      </c>
      <c r="D34">
        <v>7734</v>
      </c>
      <c r="E34" s="4">
        <f t="shared" si="0"/>
        <v>4.5322877152968516E-3</v>
      </c>
      <c r="H34" s="9" t="s">
        <v>89</v>
      </c>
      <c r="I34">
        <v>7734</v>
      </c>
      <c r="J34" s="11">
        <v>4.5322877152968516E-3</v>
      </c>
    </row>
    <row r="35" spans="2:10" x14ac:dyDescent="0.45">
      <c r="B35" s="9" t="s">
        <v>90</v>
      </c>
      <c r="C35" t="s">
        <v>4</v>
      </c>
      <c r="D35">
        <v>7606</v>
      </c>
      <c r="E35" s="4">
        <f t="shared" si="0"/>
        <v>4.4572770057600018E-3</v>
      </c>
      <c r="H35" s="9" t="s">
        <v>90</v>
      </c>
      <c r="I35">
        <v>7606</v>
      </c>
      <c r="J35" s="11">
        <v>4.4572770057600018E-3</v>
      </c>
    </row>
    <row r="36" spans="2:10" x14ac:dyDescent="0.45">
      <c r="B36" s="9" t="s">
        <v>91</v>
      </c>
      <c r="C36" t="s">
        <v>4</v>
      </c>
      <c r="D36">
        <v>7511</v>
      </c>
      <c r="E36" s="4">
        <f t="shared" si="0"/>
        <v>4.4016049947756212E-3</v>
      </c>
      <c r="H36" s="9" t="s">
        <v>91</v>
      </c>
      <c r="I36">
        <v>7511</v>
      </c>
      <c r="J36" s="11">
        <v>4.4016049947756212E-3</v>
      </c>
    </row>
    <row r="37" spans="2:10" x14ac:dyDescent="0.45">
      <c r="B37" s="9" t="s">
        <v>92</v>
      </c>
      <c r="C37" t="s">
        <v>4</v>
      </c>
      <c r="D37">
        <v>7488</v>
      </c>
      <c r="E37" s="4">
        <f t="shared" si="0"/>
        <v>4.3881265079057184E-3</v>
      </c>
      <c r="H37" s="9" t="s">
        <v>92</v>
      </c>
      <c r="I37">
        <v>7488</v>
      </c>
      <c r="J37" s="11">
        <v>4.3881265079057184E-3</v>
      </c>
    </row>
    <row r="38" spans="2:10" x14ac:dyDescent="0.45">
      <c r="B38" s="9" t="s">
        <v>93</v>
      </c>
      <c r="C38" t="s">
        <v>4</v>
      </c>
      <c r="D38">
        <v>7424</v>
      </c>
      <c r="E38" s="4">
        <f t="shared" si="0"/>
        <v>4.3506211531372935E-3</v>
      </c>
      <c r="H38" s="9" t="s">
        <v>93</v>
      </c>
      <c r="I38">
        <v>7424</v>
      </c>
      <c r="J38" s="11">
        <v>4.3506211531372935E-3</v>
      </c>
    </row>
    <row r="39" spans="2:10" x14ac:dyDescent="0.45">
      <c r="B39" s="9" t="s">
        <v>94</v>
      </c>
      <c r="C39" t="s">
        <v>4</v>
      </c>
      <c r="D39">
        <v>7159</v>
      </c>
      <c r="E39" s="4">
        <f t="shared" si="0"/>
        <v>4.1953255435492843E-3</v>
      </c>
      <c r="H39" s="9" t="s">
        <v>94</v>
      </c>
      <c r="I39">
        <v>7159</v>
      </c>
      <c r="J39" s="11">
        <v>4.1953255435492843E-3</v>
      </c>
    </row>
    <row r="40" spans="2:10" x14ac:dyDescent="0.45">
      <c r="B40" s="9" t="s">
        <v>95</v>
      </c>
      <c r="C40" t="s">
        <v>4</v>
      </c>
      <c r="D40">
        <v>7102</v>
      </c>
      <c r="E40" s="4">
        <f t="shared" si="0"/>
        <v>4.1619223369586556E-3</v>
      </c>
      <c r="H40" s="9" t="s">
        <v>95</v>
      </c>
      <c r="I40">
        <v>7102</v>
      </c>
      <c r="J40" s="11">
        <v>4.1619223369586556E-3</v>
      </c>
    </row>
    <row r="41" spans="2:10" x14ac:dyDescent="0.45">
      <c r="B41" s="9" t="s">
        <v>96</v>
      </c>
      <c r="C41" t="s">
        <v>4</v>
      </c>
      <c r="D41">
        <v>7066</v>
      </c>
      <c r="E41" s="4">
        <f t="shared" si="0"/>
        <v>4.1408255749014163E-3</v>
      </c>
      <c r="H41" s="9" t="s">
        <v>96</v>
      </c>
      <c r="I41">
        <v>7066</v>
      </c>
      <c r="J41" s="11">
        <v>4.1408255749014163E-3</v>
      </c>
    </row>
    <row r="42" spans="2:10" x14ac:dyDescent="0.45">
      <c r="B42" s="9" t="s">
        <v>97</v>
      </c>
      <c r="C42" t="s">
        <v>4</v>
      </c>
      <c r="D42">
        <v>7060</v>
      </c>
      <c r="E42" s="4">
        <f t="shared" si="0"/>
        <v>4.1373094478918768E-3</v>
      </c>
      <c r="H42" s="9" t="s">
        <v>97</v>
      </c>
      <c r="I42">
        <v>7060</v>
      </c>
      <c r="J42" s="11">
        <v>4.1373094478918768E-3</v>
      </c>
    </row>
    <row r="43" spans="2:10" x14ac:dyDescent="0.45">
      <c r="B43" s="9" t="s">
        <v>98</v>
      </c>
      <c r="C43" t="s">
        <v>4</v>
      </c>
      <c r="D43">
        <v>6998</v>
      </c>
      <c r="E43" s="4">
        <f t="shared" si="0"/>
        <v>4.1009761354599654E-3</v>
      </c>
      <c r="H43" s="9" t="s">
        <v>98</v>
      </c>
      <c r="I43">
        <v>6998</v>
      </c>
      <c r="J43" s="11">
        <v>4.1009761354599654E-3</v>
      </c>
    </row>
    <row r="44" spans="2:10" x14ac:dyDescent="0.45">
      <c r="B44" s="9" t="s">
        <v>99</v>
      </c>
      <c r="C44" t="s">
        <v>4</v>
      </c>
      <c r="D44">
        <v>6966</v>
      </c>
      <c r="E44" s="4">
        <f t="shared" si="0"/>
        <v>4.082223458075753E-3</v>
      </c>
      <c r="H44" s="9" t="s">
        <v>99</v>
      </c>
      <c r="I44">
        <v>6966</v>
      </c>
      <c r="J44" s="11">
        <v>4.082223458075753E-3</v>
      </c>
    </row>
    <row r="45" spans="2:10" x14ac:dyDescent="0.45">
      <c r="B45" s="9" t="s">
        <v>100</v>
      </c>
      <c r="C45" t="s">
        <v>4</v>
      </c>
      <c r="D45">
        <v>6807</v>
      </c>
      <c r="E45" s="4">
        <f t="shared" si="0"/>
        <v>3.9890460923229466E-3</v>
      </c>
      <c r="H45" s="9" t="s">
        <v>100</v>
      </c>
      <c r="I45">
        <v>6807</v>
      </c>
      <c r="J45" s="11">
        <v>3.9890460923229466E-3</v>
      </c>
    </row>
    <row r="46" spans="2:10" x14ac:dyDescent="0.45">
      <c r="B46" s="9" t="s">
        <v>101</v>
      </c>
      <c r="C46" t="s">
        <v>4</v>
      </c>
      <c r="D46">
        <v>6788</v>
      </c>
      <c r="E46" s="4">
        <f t="shared" si="0"/>
        <v>3.9779116901260706E-3</v>
      </c>
      <c r="H46" s="9" t="s">
        <v>101</v>
      </c>
      <c r="I46">
        <v>6788</v>
      </c>
      <c r="J46" s="11">
        <v>3.9779116901260706E-3</v>
      </c>
    </row>
    <row r="47" spans="2:10" x14ac:dyDescent="0.45">
      <c r="B47" s="9" t="s">
        <v>102</v>
      </c>
      <c r="C47" t="s">
        <v>4</v>
      </c>
      <c r="D47">
        <v>6745</v>
      </c>
      <c r="E47" s="4">
        <f t="shared" si="0"/>
        <v>3.9527127798910352E-3</v>
      </c>
      <c r="H47" s="9" t="s">
        <v>102</v>
      </c>
      <c r="I47">
        <v>6745</v>
      </c>
      <c r="J47" s="11">
        <v>3.9527127798910352E-3</v>
      </c>
    </row>
    <row r="48" spans="2:10" x14ac:dyDescent="0.45">
      <c r="B48" s="9" t="s">
        <v>103</v>
      </c>
      <c r="C48" t="s">
        <v>4</v>
      </c>
      <c r="D48">
        <v>6386</v>
      </c>
      <c r="E48" s="4">
        <f t="shared" si="0"/>
        <v>3.7423311804869017E-3</v>
      </c>
      <c r="H48" s="9" t="s">
        <v>103</v>
      </c>
      <c r="I48">
        <v>6386</v>
      </c>
      <c r="J48" s="11">
        <v>3.7423311804869017E-3</v>
      </c>
    </row>
    <row r="49" spans="2:10" x14ac:dyDescent="0.45">
      <c r="B49" s="9" t="s">
        <v>104</v>
      </c>
      <c r="C49" t="s">
        <v>4</v>
      </c>
      <c r="D49">
        <v>6186</v>
      </c>
      <c r="E49" s="4">
        <f t="shared" si="0"/>
        <v>3.6251269468355737E-3</v>
      </c>
      <c r="H49" s="9" t="s">
        <v>104</v>
      </c>
      <c r="I49">
        <v>6186</v>
      </c>
      <c r="J49" s="11">
        <v>3.6251269468355737E-3</v>
      </c>
    </row>
    <row r="50" spans="2:10" x14ac:dyDescent="0.45">
      <c r="B50" s="9" t="s">
        <v>105</v>
      </c>
      <c r="C50" t="s">
        <v>4</v>
      </c>
      <c r="D50">
        <v>6143</v>
      </c>
      <c r="E50" s="4">
        <f t="shared" si="0"/>
        <v>3.5999280366005382E-3</v>
      </c>
      <c r="H50" s="9" t="s">
        <v>105</v>
      </c>
      <c r="I50">
        <v>6143</v>
      </c>
      <c r="J50" s="11">
        <v>3.5999280366005382E-3</v>
      </c>
    </row>
    <row r="51" spans="2:10" x14ac:dyDescent="0.45">
      <c r="B51" s="9" t="s">
        <v>106</v>
      </c>
      <c r="C51" t="s">
        <v>4</v>
      </c>
      <c r="D51">
        <v>6107</v>
      </c>
      <c r="E51" s="4">
        <f t="shared" si="0"/>
        <v>3.5788312745432989E-3</v>
      </c>
      <c r="H51" s="9" t="s">
        <v>106</v>
      </c>
      <c r="I51">
        <v>6107</v>
      </c>
      <c r="J51" s="11">
        <v>3.5788312745432989E-3</v>
      </c>
    </row>
    <row r="52" spans="2:10" x14ac:dyDescent="0.45">
      <c r="B52" s="9" t="s">
        <v>107</v>
      </c>
      <c r="C52" t="s">
        <v>4</v>
      </c>
      <c r="D52">
        <v>6088</v>
      </c>
      <c r="E52" s="4">
        <f t="shared" si="0"/>
        <v>3.5676968723464229E-3</v>
      </c>
      <c r="H52" s="9" t="s">
        <v>107</v>
      </c>
      <c r="I52">
        <v>6088</v>
      </c>
      <c r="J52" s="11">
        <v>3.5676968723464229E-3</v>
      </c>
    </row>
    <row r="53" spans="2:10" x14ac:dyDescent="0.45">
      <c r="B53" s="9" t="s">
        <v>108</v>
      </c>
      <c r="C53" t="s">
        <v>4</v>
      </c>
      <c r="D53">
        <v>6077</v>
      </c>
      <c r="E53" s="4">
        <f t="shared" si="0"/>
        <v>3.5612506394955999E-3</v>
      </c>
      <c r="H53" s="9" t="s">
        <v>108</v>
      </c>
      <c r="I53">
        <v>6077</v>
      </c>
      <c r="J53" s="11">
        <v>3.5612506394955999E-3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Name Length</vt:lpstr>
      <vt:lpstr>Unisex Names</vt:lpstr>
      <vt:lpstr>First Letter</vt:lpstr>
      <vt:lpstr>Last Letter</vt:lpstr>
      <vt:lpstr>Most Popular Names - Girls</vt:lpstr>
      <vt:lpstr>Most Popular Names - Boys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Jain</dc:creator>
  <cp:lastModifiedBy>Siddharth Jain</cp:lastModifiedBy>
  <dcterms:created xsi:type="dcterms:W3CDTF">2021-05-08T16:16:13Z</dcterms:created>
  <dcterms:modified xsi:type="dcterms:W3CDTF">2021-05-09T10:42:28Z</dcterms:modified>
</cp:coreProperties>
</file>